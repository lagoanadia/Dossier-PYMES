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Ajustes" sheetId="2" state="visible" r:id="rId4"/>
    <sheet name="Facturas" sheetId="3" state="visible" r:id="rId5"/>
    <sheet name="Gastos" sheetId="4" state="visible" r:id="rId6"/>
    <sheet name="Trimestr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Elige 0 %, 7 % o 15 % según tu caso (ver «Ajustes»). Solo hay retención al facturar a empresas o autónomos.</t>
        </r>
      </text>
    </comment>
    <comment ref="J5" authorId="0">
      <text>
        <r>
          <rPr>
            <sz val="10"/>
            <rFont val="Arial"/>
            <family val="2"/>
          </rPr>
          <t xml:space="preserve">Estimación prudente: 20 % de la base − retención. No descuenta gastos.</t>
        </r>
      </text>
    </comment>
  </commentList>
</comments>
</file>

<file path=xl/sharedStrings.xml><?xml version="1.0" encoding="utf-8"?>
<sst xmlns="http://schemas.openxmlformats.org/spreadsheetml/2006/main" count="109" uniqueCount="100">
  <si>
    <t xml:space="preserve">Hoja para apartar IVA e IRPF</t>
  </si>
  <si>
    <t xml:space="preserve">Herramienta de estimación para autónomos que empiezan. No es asesoramiento fiscal: confirma tu caso con una gestoría o el PAE.</t>
  </si>
  <si>
    <t xml:space="preserve">Cómo se usa (3 pasos)</t>
  </si>
  <si>
    <t xml:space="preserve">1. En la hoja «Ajustes» revisa el año, el IVA (21 %), el % del modelo 130 (20 %) y si presentas el modelo 130.</t>
  </si>
  <si>
    <t xml:space="preserve">2. Cada vez que emitas una factura, apúntala en «Facturas» (solo las celdas amarillas). Verás al momento cuánto apartar de IVA e IRPF y cuánto queda libre.</t>
  </si>
  <si>
    <t xml:space="preserve">3. Apunta tus gastos (cuota de autónomos, dominio, herramientas) en «Gastos». La hoja «Trimestres» calcula lo que ingresarías en Hacienda cada trimestre.</t>
  </si>
  <si>
    <t xml:space="preserve">Colores</t>
  </si>
  <si>
    <t xml:space="preserve">Celdas amarillas con letra azul = las rellenas tú.  Celdas blancas con letra negra = fórmulas (no las toques).</t>
  </si>
  <si>
    <t xml:space="preserve">Las filas marcadas «EJEMPLO» son de muestra: bórralas o sobrescríbelas con tus datos.</t>
  </si>
  <si>
    <t xml:space="preserve">Qué calcula y con qué supuestos</t>
  </si>
  <si>
    <t xml:space="preserve">• IVA: 21 % de la base imponible (tipo general). Es dinero que cobras al cliente pero no es tuyo: lo ingresas cada trimestre (modelo 303) restando el IVA que hayas pagado en gastos.</t>
  </si>
  <si>
    <t xml:space="preserve">• Retención de IRPF: solo si facturas a empresas o autónomos y según tu epígrafe del IAE. Orientativamente 7 % (primeros 3 años de actividad) o 15 % (general). A un cliente particular no se le aplica.</t>
  </si>
  <si>
    <t xml:space="preserve">• Modelo 130: pago trimestral a cuenta del IRPF = 20 % del beneficio acumulado del año (ingresos − gastos deducibles) − retenciones − pagos anteriores. Si sale negativo se pone a 0.</t>
  </si>
  <si>
    <t xml:space="preserve">• Simplificaciones: no incluye la deducción por gastos de difícil justificación (5 %), otras reducciones, ni la declaración de la renta anual, donde el IRPF real puede salir menor y recuperarse parte de lo adelantado.</t>
  </si>
  <si>
    <t xml:space="preserve">• «IRPF a apartar» por factura = 20 % de la base − retención. Es prudente porque no descuenta gastos: si luego tus gastos son mayores, te sobrará.</t>
  </si>
  <si>
    <t xml:space="preserve">• El 70 %: si en el año anterior al menos el 70 % de tus ingresos llevó retención, no estás obligada a presentar el modelo 130. Cámbialo en «Ajustes» solo si lo confirma tu gestoría.</t>
  </si>
  <si>
    <t xml:space="preserve">Plazos de presentación (modelos 303 y 130)</t>
  </si>
  <si>
    <t xml:space="preserve">T1 (ene-mar): hasta el 20 de abril · T2 (abr-jun): hasta el 20 de julio · T3 (jul-sep): hasta el 20 de octubre · T4 (oct-dic): hasta el 30 de enero del año siguiente.</t>
  </si>
  <si>
    <t xml:space="preserve">Fuentes de los porcentajes</t>
  </si>
  <si>
    <t xml:space="preserve">Retención 15 % / 7 % y modelo 130 (20 %, exención con ≥70 % retenido): https://www.infoautonomos.com/fiscalidad/modelo-130-irpf-autonomos/ y https://e-autonomos.es/las-retenciones-modelo-130</t>
  </si>
  <si>
    <t xml:space="preserve">Los porcentajes son los vigentes cuando se creó la hoja; si cambian, edítalos en «Ajustes».</t>
  </si>
  <si>
    <t xml:space="preserve">Ajustes</t>
  </si>
  <si>
    <t xml:space="preserve">Año que estás registrando</t>
  </si>
  <si>
    <t xml:space="preserve">Cambia el año al empezar uno nuevo (o copia el archivo).</t>
  </si>
  <si>
    <t xml:space="preserve">IVA general</t>
  </si>
  <si>
    <t xml:space="preserve">Tipo general en España.</t>
  </si>
  <si>
    <t xml:space="preserve">Pago fraccionado modelo 130 (% del beneficio)</t>
  </si>
  <si>
    <t xml:space="preserve">20 % del rendimiento neto acumulado.</t>
  </si>
  <si>
    <t xml:space="preserve">¿Presentas el modelo 130? (Sí/No)</t>
  </si>
  <si>
    <t xml:space="preserve">Sí</t>
  </si>
  <si>
    <t xml:space="preserve">«No» solo si ≥70 % de tus ingresos del año anterior llevó retención. Confírmalo con tu gestoría.</t>
  </si>
  <si>
    <t xml:space="preserve">Retenciones posibles en factura</t>
  </si>
  <si>
    <t xml:space="preserve">Sin retención (cliente particular)</t>
  </si>
  <si>
    <t xml:space="preserve">Se usan en la lista desplegable de «Facturas». Pregunta a tu gestoría cuál te corresponde.</t>
  </si>
  <si>
    <t xml:space="preserve">Nuevo autónomo (primeros 3 años)</t>
  </si>
  <si>
    <t xml:space="preserve">General (profesional)</t>
  </si>
  <si>
    <t xml:space="preserve">Servicios y precio de lanzamiento (€, sin IVA)</t>
  </si>
  <si>
    <t xml:space="preserve">Web con galería y reservas</t>
  </si>
  <si>
    <t xml:space="preserve">Precios del flyer, solo de referencia (se usan en la lista desplegable de «Facturas»).</t>
  </si>
  <si>
    <t xml:space="preserve">Asistente de WhatsApp</t>
  </si>
  <si>
    <t xml:space="preserve">Tienda online pequeña</t>
  </si>
  <si>
    <t xml:space="preserve">Google Maps y SEO local</t>
  </si>
  <si>
    <t xml:space="preserve">Pack web + reservas + WhatsApp</t>
  </si>
  <si>
    <t xml:space="preserve">Mantenimiento mensual</t>
  </si>
  <si>
    <t xml:space="preserve">Otro</t>
  </si>
  <si>
    <t xml:space="preserve">Facturas emitidas</t>
  </si>
  <si>
    <t xml:space="preserve">Rellena solo las celdas amarillas. Cada fila calcula cuánto apartar de IVA e IRPF.</t>
  </si>
  <si>
    <t xml:space="preserve">TOTALES</t>
  </si>
  <si>
    <t xml:space="preserve">Fecha</t>
  </si>
  <si>
    <t xml:space="preserve">Nº factura</t>
  </si>
  <si>
    <t xml:space="preserve">Cliente</t>
  </si>
  <si>
    <t xml:space="preserve">Servicio</t>
  </si>
  <si>
    <t xml:space="preserve">Base imponible (€, sin IVA)</t>
  </si>
  <si>
    <t xml:space="preserve">Retención IRPF %</t>
  </si>
  <si>
    <t xml:space="preserve">IVA (€)</t>
  </si>
  <si>
    <t xml:space="preserve">Retención (€)</t>
  </si>
  <si>
    <t xml:space="preserve">Total que paga el cliente (€)</t>
  </si>
  <si>
    <t xml:space="preserve">IRPF a apartar (€)</t>
  </si>
  <si>
    <t xml:space="preserve">TOTAL a apartar: IVA + IRPF (€)</t>
  </si>
  <si>
    <t xml:space="preserve">Libre para ti, antes de gastos (€)</t>
  </si>
  <si>
    <t xml:space="preserve">Año</t>
  </si>
  <si>
    <t xml:space="preserve">Trim.</t>
  </si>
  <si>
    <t xml:space="preserve">2026-001</t>
  </si>
  <si>
    <t xml:space="preserve">Cliente EJEMPLO (bórrame)</t>
  </si>
  <si>
    <t xml:space="preserve">Gastos del negocio</t>
  </si>
  <si>
    <t xml:space="preserve">Cuota de autónomos, dominio, herramientas… La cuota de autónomos no lleva IVA (pon 0).</t>
  </si>
  <si>
    <t xml:space="preserve">Concepto</t>
  </si>
  <si>
    <t xml:space="preserve">Proveedor</t>
  </si>
  <si>
    <t xml:space="preserve">Base (€, sin IVA)</t>
  </si>
  <si>
    <t xml:space="preserve">IVA soportado (€)</t>
  </si>
  <si>
    <t xml:space="preserve">¿Deducible? (Sí/No)</t>
  </si>
  <si>
    <t xml:space="preserve">Total pagado (€)</t>
  </si>
  <si>
    <t xml:space="preserve">Cuota de autónomos EJEMPLO (bórrame)</t>
  </si>
  <si>
    <t xml:space="preserve">Seguridad Social</t>
  </si>
  <si>
    <t xml:space="preserve">Dominio EJEMPLO (bórrame)</t>
  </si>
  <si>
    <t xml:space="preserve">Registrador</t>
  </si>
  <si>
    <t xml:space="preserve">Resumen por trimestre</t>
  </si>
  <si>
    <t xml:space="preserve">Todo se calcula solo a partir de «Facturas» y «Gastos» para el año indicado en «Ajustes».</t>
  </si>
  <si>
    <t xml:space="preserve">Ingresos (base imponible)</t>
  </si>
  <si>
    <t xml:space="preserve">IVA cobrado a clientes (repercutido)</t>
  </si>
  <si>
    <t xml:space="preserve">Retenciones de IRPF que te han hecho</t>
  </si>
  <si>
    <t xml:space="preserve">Cobrado de clientes (neto de retenciones)</t>
  </si>
  <si>
    <t xml:space="preserve">Gastos deducibles (base)</t>
  </si>
  <si>
    <t xml:space="preserve">IVA pagado en gastos (soportado)</t>
  </si>
  <si>
    <t xml:space="preserve">Gastos pagados (total, con IVA)</t>
  </si>
  <si>
    <t xml:space="preserve">Impuestos</t>
  </si>
  <si>
    <t xml:space="preserve">IVA a ingresar (modelo 303)</t>
  </si>
  <si>
    <t xml:space="preserve">Rendimiento neto del trimestre</t>
  </si>
  <si>
    <t xml:space="preserve">Rendimiento neto acumulado del año</t>
  </si>
  <si>
    <t xml:space="preserve">Retenciones acumuladas del año</t>
  </si>
  <si>
    <t xml:space="preserve">Pago fraccionado IRPF (modelo 130)</t>
  </si>
  <si>
    <t xml:space="preserve">TOTAL a ingresar en Hacienda este trimestre</t>
  </si>
  <si>
    <t xml:space="preserve">Fecha límite</t>
  </si>
  <si>
    <t xml:space="preserve">20 abril</t>
  </si>
  <si>
    <t xml:space="preserve">20 julio</t>
  </si>
  <si>
    <t xml:space="preserve">20 octubre</t>
  </si>
  <si>
    <t xml:space="preserve">30 enero (año sig.)</t>
  </si>
  <si>
    <t xml:space="preserve">Dinero que te queda (estimado)</t>
  </si>
  <si>
    <t xml:space="preserve">IVA a ingresar negativo = IVA a compensar en próximos trimestres. «Dinero que te queda» ya descuenta IVA, IRPF adelantado, retenciones y gastos.</t>
  </si>
  <si>
    <t xml:space="preserve">Estimación orientativa: no incluye deducciones adicionales ni la declaración de la renta anual.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</si>
</sst>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@"/>
    <numFmt numFmtId="168" formatCode="#,##0.00&quot; €&quot;;\-#,##0.00&quot; €&quot;;\-"/>
    <numFmt numFmtId="169" formatCode="dd/mm/yyyy"/>
    <numFmt numFmtId="170" formatCode="\T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D4A"/>
      <name val="Arial"/>
      <family val="0"/>
      <charset val="1"/>
    </font>
    <font>
      <i val="true"/>
      <sz val="9"/>
      <color rgb="FF4450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D4A"/>
        <bgColor rgb="FF44504C"/>
      </patternFill>
    </fill>
    <fill>
      <patternFill patternType="solid">
        <fgColor rgb="FFFFF2CC"/>
        <bgColor rgb="FFEDE5D6"/>
      </patternFill>
    </fill>
    <fill>
      <patternFill patternType="solid">
        <fgColor rgb="FFEDE5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EA8"/>
      </left>
      <right style="thin">
        <color rgb="FFC9BEA8"/>
      </right>
      <top style="thin">
        <color rgb="FFC9BEA8"/>
      </top>
      <bottom style="thin">
        <color rgb="FFC9BE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EA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5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504C"/>
      <rgbColor rgb="FFC0522B"/>
      <rgbColor rgb="FF993366"/>
      <rgbColor rgb="FF333399"/>
      <rgbColor rgb="FF1F4D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EA8"/>
    <pageSetUpPr fitToPage="false"/>
  </sheetPr>
  <dimension ref="B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30" hidden="false" customHeight="true" outlineLevel="0" collapsed="false">
      <c r="B2" s="2" t="s">
        <v>1</v>
      </c>
    </row>
    <row r="3" customFormat="false" ht="18" hidden="false" customHeight="true" outlineLevel="0" collapsed="false">
      <c r="B3" s="3" t="s">
        <v>2</v>
      </c>
    </row>
    <row r="4" customFormat="false" ht="15" hidden="false" customHeight="false" outlineLevel="0" collapsed="false">
      <c r="B4" s="4" t="s">
        <v>3</v>
      </c>
    </row>
    <row r="5" customFormat="false" ht="30" hidden="false" customHeight="true" outlineLevel="0" collapsed="false">
      <c r="B5" s="4" t="s">
        <v>4</v>
      </c>
    </row>
    <row r="6" customFormat="false" ht="30" hidden="false" customHeight="true" outlineLevel="0" collapsed="false">
      <c r="B6" s="4" t="s">
        <v>5</v>
      </c>
    </row>
    <row r="7" customFormat="false" ht="18" hidden="false" customHeight="true" outlineLevel="0" collapsed="false">
      <c r="B7" s="3" t="s">
        <v>6</v>
      </c>
    </row>
    <row r="8" customFormat="false" ht="15" hidden="false" customHeight="false" outlineLevel="0" collapsed="false">
      <c r="B8" s="4" t="s">
        <v>7</v>
      </c>
    </row>
    <row r="9" customFormat="false" ht="15" hidden="false" customHeight="false" outlineLevel="0" collapsed="false">
      <c r="B9" s="4" t="s">
        <v>8</v>
      </c>
    </row>
    <row r="10" customFormat="false" ht="18" hidden="false" customHeight="true" outlineLevel="0" collapsed="false">
      <c r="B10" s="3" t="s">
        <v>9</v>
      </c>
    </row>
    <row r="11" customFormat="false" ht="30" hidden="false" customHeight="true" outlineLevel="0" collapsed="false">
      <c r="B11" s="4" t="s">
        <v>10</v>
      </c>
    </row>
    <row r="12" customFormat="false" ht="30" hidden="false" customHeight="true" outlineLevel="0" collapsed="false">
      <c r="B12" s="4" t="s">
        <v>11</v>
      </c>
    </row>
    <row r="13" customFormat="false" ht="30" hidden="false" customHeight="true" outlineLevel="0" collapsed="false">
      <c r="B13" s="4" t="s">
        <v>12</v>
      </c>
    </row>
    <row r="14" customFormat="false" ht="30" hidden="false" customHeight="true" outlineLevel="0" collapsed="false">
      <c r="B14" s="4" t="s">
        <v>13</v>
      </c>
    </row>
    <row r="15" customFormat="false" ht="30" hidden="false" customHeight="true" outlineLevel="0" collapsed="false">
      <c r="B15" s="4" t="s">
        <v>14</v>
      </c>
    </row>
    <row r="16" customFormat="false" ht="30" hidden="false" customHeight="true" outlineLevel="0" collapsed="false">
      <c r="B16" s="4" t="s">
        <v>15</v>
      </c>
    </row>
    <row r="17" customFormat="false" ht="18" hidden="false" customHeight="true" outlineLevel="0" collapsed="false">
      <c r="B17" s="3" t="s">
        <v>16</v>
      </c>
    </row>
    <row r="18" customFormat="false" ht="30" hidden="false" customHeight="true" outlineLevel="0" collapsed="false">
      <c r="B18" s="4" t="s">
        <v>17</v>
      </c>
    </row>
    <row r="19" customFormat="false" ht="18" hidden="false" customHeight="true" outlineLevel="0" collapsed="false">
      <c r="B19" s="3" t="s">
        <v>18</v>
      </c>
    </row>
    <row r="20" customFormat="false" ht="30" hidden="false" customHeight="true" outlineLevel="0" collapsed="false">
      <c r="B20" s="4" t="s">
        <v>19</v>
      </c>
    </row>
    <row r="21" customFormat="false" ht="15" hidden="false" customHeight="false" outlineLevel="0" collapsed="false">
      <c r="B21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EA8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5" t="s">
        <v>21</v>
      </c>
    </row>
    <row r="3" customFormat="false" ht="15" hidden="false" customHeight="false" outlineLevel="0" collapsed="false">
      <c r="A3" s="6" t="s">
        <v>22</v>
      </c>
      <c r="B3" s="7" t="n">
        <v>2026</v>
      </c>
      <c r="C3" s="8" t="s">
        <v>23</v>
      </c>
    </row>
    <row r="4" customFormat="false" ht="15" hidden="false" customHeight="false" outlineLevel="0" collapsed="false">
      <c r="A4" s="6" t="s">
        <v>24</v>
      </c>
      <c r="B4" s="9" t="n">
        <v>0.21</v>
      </c>
      <c r="C4" s="8" t="s">
        <v>25</v>
      </c>
    </row>
    <row r="5" customFormat="false" ht="15" hidden="false" customHeight="false" outlineLevel="0" collapsed="false">
      <c r="A5" s="6" t="s">
        <v>26</v>
      </c>
      <c r="B5" s="9" t="n">
        <v>0.2</v>
      </c>
      <c r="C5" s="8" t="s">
        <v>27</v>
      </c>
    </row>
    <row r="6" customFormat="false" ht="15" hidden="false" customHeight="false" outlineLevel="0" collapsed="false">
      <c r="A6" s="6" t="s">
        <v>28</v>
      </c>
      <c r="B6" s="10" t="s">
        <v>29</v>
      </c>
      <c r="C6" s="8" t="s">
        <v>30</v>
      </c>
    </row>
    <row r="8" customFormat="false" ht="15" hidden="false" customHeight="false" outlineLevel="0" collapsed="false">
      <c r="A8" s="11" t="s">
        <v>31</v>
      </c>
      <c r="B8" s="12"/>
      <c r="C8" s="12"/>
    </row>
    <row r="9" customFormat="false" ht="15" hidden="false" customHeight="false" outlineLevel="0" collapsed="false">
      <c r="A9" s="6" t="s">
        <v>32</v>
      </c>
      <c r="B9" s="9" t="n">
        <v>0</v>
      </c>
      <c r="C9" s="8" t="s">
        <v>33</v>
      </c>
    </row>
    <row r="10" customFormat="false" ht="15" hidden="false" customHeight="false" outlineLevel="0" collapsed="false">
      <c r="A10" s="6" t="s">
        <v>34</v>
      </c>
      <c r="B10" s="9" t="n">
        <v>0.07</v>
      </c>
    </row>
    <row r="11" customFormat="false" ht="15" hidden="false" customHeight="false" outlineLevel="0" collapsed="false">
      <c r="A11" s="6" t="s">
        <v>35</v>
      </c>
      <c r="B11" s="9" t="n">
        <v>0.15</v>
      </c>
    </row>
    <row r="13" customFormat="false" ht="15" hidden="false" customHeight="false" outlineLevel="0" collapsed="false">
      <c r="A13" s="11" t="s">
        <v>36</v>
      </c>
      <c r="B13" s="12"/>
      <c r="C13" s="12"/>
    </row>
    <row r="14" customFormat="false" ht="15" hidden="false" customHeight="false" outlineLevel="0" collapsed="false">
      <c r="A14" s="13" t="s">
        <v>37</v>
      </c>
      <c r="B14" s="14" t="n">
        <v>350</v>
      </c>
      <c r="C14" s="8" t="s">
        <v>38</v>
      </c>
    </row>
    <row r="15" customFormat="false" ht="15" hidden="false" customHeight="false" outlineLevel="0" collapsed="false">
      <c r="A15" s="13" t="s">
        <v>39</v>
      </c>
      <c r="B15" s="14" t="n">
        <v>250</v>
      </c>
    </row>
    <row r="16" customFormat="false" ht="15" hidden="false" customHeight="false" outlineLevel="0" collapsed="false">
      <c r="A16" s="13" t="s">
        <v>40</v>
      </c>
      <c r="B16" s="14" t="n">
        <v>550</v>
      </c>
    </row>
    <row r="17" customFormat="false" ht="15" hidden="false" customHeight="false" outlineLevel="0" collapsed="false">
      <c r="A17" s="13" t="s">
        <v>41</v>
      </c>
      <c r="B17" s="14" t="n">
        <v>150</v>
      </c>
    </row>
    <row r="18" customFormat="false" ht="15" hidden="false" customHeight="false" outlineLevel="0" collapsed="false">
      <c r="A18" s="13" t="s">
        <v>42</v>
      </c>
      <c r="B18" s="14" t="n">
        <v>550</v>
      </c>
    </row>
    <row r="19" customFormat="false" ht="15" hidden="false" customHeight="false" outlineLevel="0" collapsed="false">
      <c r="A19" s="13" t="s">
        <v>43</v>
      </c>
      <c r="B19" s="14" t="n">
        <v>20</v>
      </c>
    </row>
    <row r="20" customFormat="false" ht="15" hidden="false" customHeight="false" outlineLevel="0" collapsed="false">
      <c r="A20" s="13" t="s">
        <v>44</v>
      </c>
      <c r="B20" s="14"/>
    </row>
  </sheetData>
  <dataValidations count="1">
    <dataValidation allowBlank="false" errorStyle="stop" operator="between" showDropDown="false" showErrorMessage="false" showInputMessage="false" sqref="B6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22B"/>
    <pageSetUpPr fitToPage="false"/>
  </sheetPr>
  <dimension ref="A1:N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8"/>
    <col collapsed="false" customWidth="true" hidden="false" outlineLevel="0" max="14" min="14" style="0" width="7"/>
  </cols>
  <sheetData>
    <row r="1" customFormat="false" ht="17.35" hidden="false" customHeight="false" outlineLevel="0" collapsed="false">
      <c r="A1" s="5" t="s">
        <v>45</v>
      </c>
    </row>
    <row r="2" customFormat="false" ht="15" hidden="false" customHeight="false" outlineLevel="0" collapsed="false">
      <c r="A2" s="8" t="s">
        <v>46</v>
      </c>
    </row>
    <row r="4" customFormat="false" ht="15" hidden="false" customHeight="false" outlineLevel="0" collapsed="false">
      <c r="A4" s="15" t="s">
        <v>47</v>
      </c>
      <c r="E4" s="16" t="n">
        <f aca="false">SUM(E6:E205)</f>
        <v>350</v>
      </c>
      <c r="G4" s="16" t="n">
        <f aca="false">SUM(G6:G205)</f>
        <v>73.5</v>
      </c>
      <c r="H4" s="16" t="n">
        <f aca="false">SUM(H6:H205)</f>
        <v>24.5</v>
      </c>
      <c r="I4" s="16" t="n">
        <f aca="false">SUM(I6:I205)</f>
        <v>399</v>
      </c>
      <c r="J4" s="16" t="n">
        <f aca="false">SUM(J6:J205)</f>
        <v>45.5</v>
      </c>
      <c r="K4" s="16" t="n">
        <f aca="false">SUM(K6:K205)</f>
        <v>119</v>
      </c>
      <c r="L4" s="16" t="n">
        <f aca="false">SUM(L6:L205)</f>
        <v>280</v>
      </c>
    </row>
    <row r="5" customFormat="false" ht="48" hidden="false" customHeight="true" outlineLevel="0" collapsed="false">
      <c r="A5" s="17" t="s">
        <v>48</v>
      </c>
      <c r="B5" s="17" t="s">
        <v>49</v>
      </c>
      <c r="C5" s="17" t="s">
        <v>50</v>
      </c>
      <c r="D5" s="17" t="s">
        <v>51</v>
      </c>
      <c r="E5" s="17" t="s">
        <v>52</v>
      </c>
      <c r="F5" s="17" t="s">
        <v>53</v>
      </c>
      <c r="G5" s="17" t="s">
        <v>54</v>
      </c>
      <c r="H5" s="17" t="s">
        <v>55</v>
      </c>
      <c r="I5" s="17" t="s">
        <v>56</v>
      </c>
      <c r="J5" s="17" t="s">
        <v>57</v>
      </c>
      <c r="K5" s="17" t="s">
        <v>58</v>
      </c>
      <c r="L5" s="17" t="s">
        <v>59</v>
      </c>
      <c r="M5" s="17" t="s">
        <v>60</v>
      </c>
      <c r="N5" s="17" t="s">
        <v>61</v>
      </c>
    </row>
    <row r="6" customFormat="false" ht="15" hidden="false" customHeight="false" outlineLevel="0" collapsed="false">
      <c r="A6" s="18" t="n">
        <v>46310</v>
      </c>
      <c r="B6" s="19" t="s">
        <v>62</v>
      </c>
      <c r="C6" s="19" t="s">
        <v>63</v>
      </c>
      <c r="D6" s="19" t="s">
        <v>37</v>
      </c>
      <c r="E6" s="14" t="n">
        <v>350</v>
      </c>
      <c r="F6" s="20" t="n">
        <v>0.07</v>
      </c>
      <c r="G6" s="21" t="n">
        <f aca="false">IF($E6="","",ROUND($E6*Ajustes!$B$4,2))</f>
        <v>73.5</v>
      </c>
      <c r="H6" s="21" t="n">
        <f aca="false">IF($E6="","",ROUND($E6*N($F6),2))</f>
        <v>24.5</v>
      </c>
      <c r="I6" s="21" t="n">
        <f aca="false">IF($E6="","",$E6+$G6-$H6)</f>
        <v>399</v>
      </c>
      <c r="J6" s="21" t="n">
        <f aca="false">IF($E6="","",IF(Ajustes!$B$6="Sí",MAX(0,ROUND($E6*Ajustes!$B$5-$H6,2)),0))</f>
        <v>45.5</v>
      </c>
      <c r="K6" s="21" t="n">
        <f aca="false">IF($E6="","",$G6+$J6)</f>
        <v>119</v>
      </c>
      <c r="L6" s="21" t="n">
        <f aca="false">IF($E6="","",$I6-$K6)</f>
        <v>280</v>
      </c>
      <c r="M6" s="22" t="n">
        <f aca="false">IF($A6="","",YEAR($A6))</f>
        <v>2026</v>
      </c>
      <c r="N6" s="22" t="n">
        <f aca="false">IF($A6="","",ROUNDUP(MONTH($A6)/3,0))</f>
        <v>4</v>
      </c>
    </row>
    <row r="7" customFormat="false" ht="15" hidden="false" customHeight="false" outlineLevel="0" collapsed="false">
      <c r="A7" s="18"/>
      <c r="B7" s="19"/>
      <c r="C7" s="19"/>
      <c r="D7" s="19"/>
      <c r="E7" s="14"/>
      <c r="F7" s="20"/>
      <c r="G7" s="21" t="str">
        <f aca="false">IF($E7="","",ROUND($E7*Ajustes!$B$4,2))</f>
        <v/>
      </c>
      <c r="H7" s="21" t="str">
        <f aca="false">IF($E7="","",ROUND($E7*N($F7),2))</f>
        <v/>
      </c>
      <c r="I7" s="21" t="str">
        <f aca="false">IF($E7="","",$E7+$G7-$H7)</f>
        <v/>
      </c>
      <c r="J7" s="21" t="str">
        <f aca="false">IF($E7="","",IF(Ajustes!$B$6="Sí",MAX(0,ROUND($E7*Ajustes!$B$5-$H7,2)),0))</f>
        <v/>
      </c>
      <c r="K7" s="21" t="str">
        <f aca="false">IF($E7="","",$G7+$J7)</f>
        <v/>
      </c>
      <c r="L7" s="21" t="str">
        <f aca="false">IF($E7="","",$I7-$K7)</f>
        <v/>
      </c>
      <c r="M7" s="22" t="str">
        <f aca="false">IF($A7="","",YEAR($A7))</f>
        <v/>
      </c>
      <c r="N7" s="22" t="str">
        <f aca="false">IF($A7="","",ROUNDUP(MONTH($A7)/3,0))</f>
        <v/>
      </c>
    </row>
    <row r="8" customFormat="false" ht="15" hidden="false" customHeight="false" outlineLevel="0" collapsed="false">
      <c r="A8" s="18"/>
      <c r="B8" s="19"/>
      <c r="C8" s="19"/>
      <c r="D8" s="19"/>
      <c r="E8" s="14"/>
      <c r="F8" s="20"/>
      <c r="G8" s="21" t="str">
        <f aca="false">IF($E8="","",ROUND($E8*Ajustes!$B$4,2))</f>
        <v/>
      </c>
      <c r="H8" s="21" t="str">
        <f aca="false">IF($E8="","",ROUND($E8*N($F8),2))</f>
        <v/>
      </c>
      <c r="I8" s="21" t="str">
        <f aca="false">IF($E8="","",$E8+$G8-$H8)</f>
        <v/>
      </c>
      <c r="J8" s="21" t="str">
        <f aca="false">IF($E8="","",IF(Ajustes!$B$6="Sí",MAX(0,ROUND($E8*Ajustes!$B$5-$H8,2)),0))</f>
        <v/>
      </c>
      <c r="K8" s="21" t="str">
        <f aca="false">IF($E8="","",$G8+$J8)</f>
        <v/>
      </c>
      <c r="L8" s="21" t="str">
        <f aca="false">IF($E8="","",$I8-$K8)</f>
        <v/>
      </c>
      <c r="M8" s="22" t="str">
        <f aca="false">IF($A8="","",YEAR($A8))</f>
        <v/>
      </c>
      <c r="N8" s="22" t="str">
        <f aca="false">IF($A8="","",ROUNDUP(MONTH($A8)/3,0))</f>
        <v/>
      </c>
    </row>
    <row r="9" customFormat="false" ht="15" hidden="false" customHeight="false" outlineLevel="0" collapsed="false">
      <c r="A9" s="18"/>
      <c r="B9" s="19"/>
      <c r="C9" s="19"/>
      <c r="D9" s="19"/>
      <c r="E9" s="14"/>
      <c r="F9" s="20"/>
      <c r="G9" s="21" t="str">
        <f aca="false">IF($E9="","",ROUND($E9*Ajustes!$B$4,2))</f>
        <v/>
      </c>
      <c r="H9" s="21" t="str">
        <f aca="false">IF($E9="","",ROUND($E9*N($F9),2))</f>
        <v/>
      </c>
      <c r="I9" s="21" t="str">
        <f aca="false">IF($E9="","",$E9+$G9-$H9)</f>
        <v/>
      </c>
      <c r="J9" s="21" t="str">
        <f aca="false">IF($E9="","",IF(Ajustes!$B$6="Sí",MAX(0,ROUND($E9*Ajustes!$B$5-$H9,2)),0))</f>
        <v/>
      </c>
      <c r="K9" s="21" t="str">
        <f aca="false">IF($E9="","",$G9+$J9)</f>
        <v/>
      </c>
      <c r="L9" s="21" t="str">
        <f aca="false">IF($E9="","",$I9-$K9)</f>
        <v/>
      </c>
      <c r="M9" s="22" t="str">
        <f aca="false">IF($A9="","",YEAR($A9))</f>
        <v/>
      </c>
      <c r="N9" s="22" t="str">
        <f aca="false">IF($A9="","",ROUNDUP(MONTH($A9)/3,0))</f>
        <v/>
      </c>
    </row>
    <row r="10" customFormat="false" ht="15" hidden="false" customHeight="false" outlineLevel="0" collapsed="false">
      <c r="A10" s="18"/>
      <c r="B10" s="19"/>
      <c r="C10" s="19"/>
      <c r="D10" s="19"/>
      <c r="E10" s="14"/>
      <c r="F10" s="20"/>
      <c r="G10" s="21" t="str">
        <f aca="false">IF($E10="","",ROUND($E10*Ajustes!$B$4,2))</f>
        <v/>
      </c>
      <c r="H10" s="21" t="str">
        <f aca="false">IF($E10="","",ROUND($E10*N($F10),2))</f>
        <v/>
      </c>
      <c r="I10" s="21" t="str">
        <f aca="false">IF($E10="","",$E10+$G10-$H10)</f>
        <v/>
      </c>
      <c r="J10" s="21" t="str">
        <f aca="false">IF($E10="","",IF(Ajustes!$B$6="Sí",MAX(0,ROUND($E10*Ajustes!$B$5-$H10,2)),0))</f>
        <v/>
      </c>
      <c r="K10" s="21" t="str">
        <f aca="false">IF($E10="","",$G10+$J10)</f>
        <v/>
      </c>
      <c r="L10" s="21" t="str">
        <f aca="false">IF($E10="","",$I10-$K10)</f>
        <v/>
      </c>
      <c r="M10" s="22" t="str">
        <f aca="false">IF($A10="","",YEAR($A10))</f>
        <v/>
      </c>
      <c r="N10" s="22" t="str">
        <f aca="false">IF($A10="","",ROUNDUP(MONTH($A10)/3,0))</f>
        <v/>
      </c>
    </row>
    <row r="11" customFormat="false" ht="15" hidden="false" customHeight="false" outlineLevel="0" collapsed="false">
      <c r="A11" s="18"/>
      <c r="B11" s="19"/>
      <c r="C11" s="19"/>
      <c r="D11" s="19"/>
      <c r="E11" s="14"/>
      <c r="F11" s="20"/>
      <c r="G11" s="21" t="str">
        <f aca="false">IF($E11="","",ROUND($E11*Ajustes!$B$4,2))</f>
        <v/>
      </c>
      <c r="H11" s="21" t="str">
        <f aca="false">IF($E11="","",ROUND($E11*N($F11),2))</f>
        <v/>
      </c>
      <c r="I11" s="21" t="str">
        <f aca="false">IF($E11="","",$E11+$G11-$H11)</f>
        <v/>
      </c>
      <c r="J11" s="21" t="str">
        <f aca="false">IF($E11="","",IF(Ajustes!$B$6="Sí",MAX(0,ROUND($E11*Ajustes!$B$5-$H11,2)),0))</f>
        <v/>
      </c>
      <c r="K11" s="21" t="str">
        <f aca="false">IF($E11="","",$G11+$J11)</f>
        <v/>
      </c>
      <c r="L11" s="21" t="str">
        <f aca="false">IF($E11="","",$I11-$K11)</f>
        <v/>
      </c>
      <c r="M11" s="22" t="str">
        <f aca="false">IF($A11="","",YEAR($A11))</f>
        <v/>
      </c>
      <c r="N11" s="22" t="str">
        <f aca="false">IF($A11="","",ROUNDUP(MONTH($A11)/3,0))</f>
        <v/>
      </c>
    </row>
    <row r="12" customFormat="false" ht="15" hidden="false" customHeight="false" outlineLevel="0" collapsed="false">
      <c r="A12" s="18"/>
      <c r="B12" s="19"/>
      <c r="C12" s="19"/>
      <c r="D12" s="19"/>
      <c r="E12" s="14"/>
      <c r="F12" s="20"/>
      <c r="G12" s="21" t="str">
        <f aca="false">IF($E12="","",ROUND($E12*Ajustes!$B$4,2))</f>
        <v/>
      </c>
      <c r="H12" s="21" t="str">
        <f aca="false">IF($E12="","",ROUND($E12*N($F12),2))</f>
        <v/>
      </c>
      <c r="I12" s="21" t="str">
        <f aca="false">IF($E12="","",$E12+$G12-$H12)</f>
        <v/>
      </c>
      <c r="J12" s="21" t="str">
        <f aca="false">IF($E12="","",IF(Ajustes!$B$6="Sí",MAX(0,ROUND($E12*Ajustes!$B$5-$H12,2)),0))</f>
        <v/>
      </c>
      <c r="K12" s="21" t="str">
        <f aca="false">IF($E12="","",$G12+$J12)</f>
        <v/>
      </c>
      <c r="L12" s="21" t="str">
        <f aca="false">IF($E12="","",$I12-$K12)</f>
        <v/>
      </c>
      <c r="M12" s="22" t="str">
        <f aca="false">IF($A12="","",YEAR($A12))</f>
        <v/>
      </c>
      <c r="N12" s="22" t="str">
        <f aca="false">IF($A12="","",ROUNDUP(MONTH($A12)/3,0))</f>
        <v/>
      </c>
    </row>
    <row r="13" customFormat="false" ht="15" hidden="false" customHeight="false" outlineLevel="0" collapsed="false">
      <c r="A13" s="18"/>
      <c r="B13" s="19"/>
      <c r="C13" s="19"/>
      <c r="D13" s="19"/>
      <c r="E13" s="14"/>
      <c r="F13" s="20"/>
      <c r="G13" s="21" t="str">
        <f aca="false">IF($E13="","",ROUND($E13*Ajustes!$B$4,2))</f>
        <v/>
      </c>
      <c r="H13" s="21" t="str">
        <f aca="false">IF($E13="","",ROUND($E13*N($F13),2))</f>
        <v/>
      </c>
      <c r="I13" s="21" t="str">
        <f aca="false">IF($E13="","",$E13+$G13-$H13)</f>
        <v/>
      </c>
      <c r="J13" s="21" t="str">
        <f aca="false">IF($E13="","",IF(Ajustes!$B$6="Sí",MAX(0,ROUND($E13*Ajustes!$B$5-$H13,2)),0))</f>
        <v/>
      </c>
      <c r="K13" s="21" t="str">
        <f aca="false">IF($E13="","",$G13+$J13)</f>
        <v/>
      </c>
      <c r="L13" s="21" t="str">
        <f aca="false">IF($E13="","",$I13-$K13)</f>
        <v/>
      </c>
      <c r="M13" s="22" t="str">
        <f aca="false">IF($A13="","",YEAR($A13))</f>
        <v/>
      </c>
      <c r="N13" s="22" t="str">
        <f aca="false">IF($A13="","",ROUNDUP(MONTH($A13)/3,0))</f>
        <v/>
      </c>
    </row>
    <row r="14" customFormat="false" ht="15" hidden="false" customHeight="false" outlineLevel="0" collapsed="false">
      <c r="A14" s="18"/>
      <c r="B14" s="19"/>
      <c r="C14" s="19"/>
      <c r="D14" s="19"/>
      <c r="E14" s="14"/>
      <c r="F14" s="20"/>
      <c r="G14" s="21" t="str">
        <f aca="false">IF($E14="","",ROUND($E14*Ajustes!$B$4,2))</f>
        <v/>
      </c>
      <c r="H14" s="21" t="str">
        <f aca="false">IF($E14="","",ROUND($E14*N($F14),2))</f>
        <v/>
      </c>
      <c r="I14" s="21" t="str">
        <f aca="false">IF($E14="","",$E14+$G14-$H14)</f>
        <v/>
      </c>
      <c r="J14" s="21" t="str">
        <f aca="false">IF($E14="","",IF(Ajustes!$B$6="Sí",MAX(0,ROUND($E14*Ajustes!$B$5-$H14,2)),0))</f>
        <v/>
      </c>
      <c r="K14" s="21" t="str">
        <f aca="false">IF($E14="","",$G14+$J14)</f>
        <v/>
      </c>
      <c r="L14" s="21" t="str">
        <f aca="false">IF($E14="","",$I14-$K14)</f>
        <v/>
      </c>
      <c r="M14" s="22" t="str">
        <f aca="false">IF($A14="","",YEAR($A14))</f>
        <v/>
      </c>
      <c r="N14" s="22" t="str">
        <f aca="false">IF($A14="","",ROUNDUP(MONTH($A14)/3,0))</f>
        <v/>
      </c>
    </row>
    <row r="15" customFormat="false" ht="15" hidden="false" customHeight="false" outlineLevel="0" collapsed="false">
      <c r="A15" s="18"/>
      <c r="B15" s="19"/>
      <c r="C15" s="19"/>
      <c r="D15" s="19"/>
      <c r="E15" s="14"/>
      <c r="F15" s="20"/>
      <c r="G15" s="21" t="str">
        <f aca="false">IF($E15="","",ROUND($E15*Ajustes!$B$4,2))</f>
        <v/>
      </c>
      <c r="H15" s="21" t="str">
        <f aca="false">IF($E15="","",ROUND($E15*N($F15),2))</f>
        <v/>
      </c>
      <c r="I15" s="21" t="str">
        <f aca="false">IF($E15="","",$E15+$G15-$H15)</f>
        <v/>
      </c>
      <c r="J15" s="21" t="str">
        <f aca="false">IF($E15="","",IF(Ajustes!$B$6="Sí",MAX(0,ROUND($E15*Ajustes!$B$5-$H15,2)),0))</f>
        <v/>
      </c>
      <c r="K15" s="21" t="str">
        <f aca="false">IF($E15="","",$G15+$J15)</f>
        <v/>
      </c>
      <c r="L15" s="21" t="str">
        <f aca="false">IF($E15="","",$I15-$K15)</f>
        <v/>
      </c>
      <c r="M15" s="22" t="str">
        <f aca="false">IF($A15="","",YEAR($A15))</f>
        <v/>
      </c>
      <c r="N15" s="22" t="str">
        <f aca="false">IF($A15="","",ROUNDUP(MONTH($A15)/3,0))</f>
        <v/>
      </c>
    </row>
    <row r="16" customFormat="false" ht="15" hidden="false" customHeight="false" outlineLevel="0" collapsed="false">
      <c r="A16" s="18"/>
      <c r="B16" s="19"/>
      <c r="C16" s="19"/>
      <c r="D16" s="19"/>
      <c r="E16" s="14"/>
      <c r="F16" s="20"/>
      <c r="G16" s="21" t="str">
        <f aca="false">IF($E16="","",ROUND($E16*Ajustes!$B$4,2))</f>
        <v/>
      </c>
      <c r="H16" s="21" t="str">
        <f aca="false">IF($E16="","",ROUND($E16*N($F16),2))</f>
        <v/>
      </c>
      <c r="I16" s="21" t="str">
        <f aca="false">IF($E16="","",$E16+$G16-$H16)</f>
        <v/>
      </c>
      <c r="J16" s="21" t="str">
        <f aca="false">IF($E16="","",IF(Ajustes!$B$6="Sí",MAX(0,ROUND($E16*Ajustes!$B$5-$H16,2)),0))</f>
        <v/>
      </c>
      <c r="K16" s="21" t="str">
        <f aca="false">IF($E16="","",$G16+$J16)</f>
        <v/>
      </c>
      <c r="L16" s="21" t="str">
        <f aca="false">IF($E16="","",$I16-$K16)</f>
        <v/>
      </c>
      <c r="M16" s="22" t="str">
        <f aca="false">IF($A16="","",YEAR($A16))</f>
        <v/>
      </c>
      <c r="N16" s="22" t="str">
        <f aca="false">IF($A16="","",ROUNDUP(MONTH($A16)/3,0))</f>
        <v/>
      </c>
    </row>
    <row r="17" customFormat="false" ht="15" hidden="false" customHeight="false" outlineLevel="0" collapsed="false">
      <c r="A17" s="18"/>
      <c r="B17" s="19"/>
      <c r="C17" s="19"/>
      <c r="D17" s="19"/>
      <c r="E17" s="14"/>
      <c r="F17" s="20"/>
      <c r="G17" s="21" t="str">
        <f aca="false">IF($E17="","",ROUND($E17*Ajustes!$B$4,2))</f>
        <v/>
      </c>
      <c r="H17" s="21" t="str">
        <f aca="false">IF($E17="","",ROUND($E17*N($F17),2))</f>
        <v/>
      </c>
      <c r="I17" s="21" t="str">
        <f aca="false">IF($E17="","",$E17+$G17-$H17)</f>
        <v/>
      </c>
      <c r="J17" s="21" t="str">
        <f aca="false">IF($E17="","",IF(Ajustes!$B$6="Sí",MAX(0,ROUND($E17*Ajustes!$B$5-$H17,2)),0))</f>
        <v/>
      </c>
      <c r="K17" s="21" t="str">
        <f aca="false">IF($E17="","",$G17+$J17)</f>
        <v/>
      </c>
      <c r="L17" s="21" t="str">
        <f aca="false">IF($E17="","",$I17-$K17)</f>
        <v/>
      </c>
      <c r="M17" s="22" t="str">
        <f aca="false">IF($A17="","",YEAR($A17))</f>
        <v/>
      </c>
      <c r="N17" s="22" t="str">
        <f aca="false">IF($A17="","",ROUNDUP(MONTH($A17)/3,0))</f>
        <v/>
      </c>
    </row>
    <row r="18" customFormat="false" ht="15" hidden="false" customHeight="false" outlineLevel="0" collapsed="false">
      <c r="A18" s="18"/>
      <c r="B18" s="19"/>
      <c r="C18" s="19"/>
      <c r="D18" s="19"/>
      <c r="E18" s="14"/>
      <c r="F18" s="20"/>
      <c r="G18" s="21" t="str">
        <f aca="false">IF($E18="","",ROUND($E18*Ajustes!$B$4,2))</f>
        <v/>
      </c>
      <c r="H18" s="21" t="str">
        <f aca="false">IF($E18="","",ROUND($E18*N($F18),2))</f>
        <v/>
      </c>
      <c r="I18" s="21" t="str">
        <f aca="false">IF($E18="","",$E18+$G18-$H18)</f>
        <v/>
      </c>
      <c r="J18" s="21" t="str">
        <f aca="false">IF($E18="","",IF(Ajustes!$B$6="Sí",MAX(0,ROUND($E18*Ajustes!$B$5-$H18,2)),0))</f>
        <v/>
      </c>
      <c r="K18" s="21" t="str">
        <f aca="false">IF($E18="","",$G18+$J18)</f>
        <v/>
      </c>
      <c r="L18" s="21" t="str">
        <f aca="false">IF($E18="","",$I18-$K18)</f>
        <v/>
      </c>
      <c r="M18" s="22" t="str">
        <f aca="false">IF($A18="","",YEAR($A18))</f>
        <v/>
      </c>
      <c r="N18" s="22" t="str">
        <f aca="false">IF($A18="","",ROUNDUP(MONTH($A18)/3,0))</f>
        <v/>
      </c>
    </row>
    <row r="19" customFormat="false" ht="15" hidden="false" customHeight="false" outlineLevel="0" collapsed="false">
      <c r="A19" s="18"/>
      <c r="B19" s="19"/>
      <c r="C19" s="19"/>
      <c r="D19" s="19"/>
      <c r="E19" s="14"/>
      <c r="F19" s="20"/>
      <c r="G19" s="21" t="str">
        <f aca="false">IF($E19="","",ROUND($E19*Ajustes!$B$4,2))</f>
        <v/>
      </c>
      <c r="H19" s="21" t="str">
        <f aca="false">IF($E19="","",ROUND($E19*N($F19),2))</f>
        <v/>
      </c>
      <c r="I19" s="21" t="str">
        <f aca="false">IF($E19="","",$E19+$G19-$H19)</f>
        <v/>
      </c>
      <c r="J19" s="21" t="str">
        <f aca="false">IF($E19="","",IF(Ajustes!$B$6="Sí",MAX(0,ROUND($E19*Ajustes!$B$5-$H19,2)),0))</f>
        <v/>
      </c>
      <c r="K19" s="21" t="str">
        <f aca="false">IF($E19="","",$G19+$J19)</f>
        <v/>
      </c>
      <c r="L19" s="21" t="str">
        <f aca="false">IF($E19="","",$I19-$K19)</f>
        <v/>
      </c>
      <c r="M19" s="22" t="str">
        <f aca="false">IF($A19="","",YEAR($A19))</f>
        <v/>
      </c>
      <c r="N19" s="22" t="str">
        <f aca="false">IF($A19="","",ROUNDUP(MONTH($A19)/3,0))</f>
        <v/>
      </c>
    </row>
    <row r="20" customFormat="false" ht="15" hidden="false" customHeight="false" outlineLevel="0" collapsed="false">
      <c r="A20" s="18"/>
      <c r="B20" s="19"/>
      <c r="C20" s="19"/>
      <c r="D20" s="19"/>
      <c r="E20" s="14"/>
      <c r="F20" s="20"/>
      <c r="G20" s="21" t="str">
        <f aca="false">IF($E20="","",ROUND($E20*Ajustes!$B$4,2))</f>
        <v/>
      </c>
      <c r="H20" s="21" t="str">
        <f aca="false">IF($E20="","",ROUND($E20*N($F20),2))</f>
        <v/>
      </c>
      <c r="I20" s="21" t="str">
        <f aca="false">IF($E20="","",$E20+$G20-$H20)</f>
        <v/>
      </c>
      <c r="J20" s="21" t="str">
        <f aca="false">IF($E20="","",IF(Ajustes!$B$6="Sí",MAX(0,ROUND($E20*Ajustes!$B$5-$H20,2)),0))</f>
        <v/>
      </c>
      <c r="K20" s="21" t="str">
        <f aca="false">IF($E20="","",$G20+$J20)</f>
        <v/>
      </c>
      <c r="L20" s="21" t="str">
        <f aca="false">IF($E20="","",$I20-$K20)</f>
        <v/>
      </c>
      <c r="M20" s="22" t="str">
        <f aca="false">IF($A20="","",YEAR($A20))</f>
        <v/>
      </c>
      <c r="N20" s="22" t="str">
        <f aca="false">IF($A20="","",ROUNDUP(MONTH($A20)/3,0))</f>
        <v/>
      </c>
    </row>
    <row r="21" customFormat="false" ht="15" hidden="false" customHeight="false" outlineLevel="0" collapsed="false">
      <c r="A21" s="18"/>
      <c r="B21" s="19"/>
      <c r="C21" s="19"/>
      <c r="D21" s="19"/>
      <c r="E21" s="14"/>
      <c r="F21" s="20"/>
      <c r="G21" s="21" t="str">
        <f aca="false">IF($E21="","",ROUND($E21*Ajustes!$B$4,2))</f>
        <v/>
      </c>
      <c r="H21" s="21" t="str">
        <f aca="false">IF($E21="","",ROUND($E21*N($F21),2))</f>
        <v/>
      </c>
      <c r="I21" s="21" t="str">
        <f aca="false">IF($E21="","",$E21+$G21-$H21)</f>
        <v/>
      </c>
      <c r="J21" s="21" t="str">
        <f aca="false">IF($E21="","",IF(Ajustes!$B$6="Sí",MAX(0,ROUND($E21*Ajustes!$B$5-$H21,2)),0))</f>
        <v/>
      </c>
      <c r="K21" s="21" t="str">
        <f aca="false">IF($E21="","",$G21+$J21)</f>
        <v/>
      </c>
      <c r="L21" s="21" t="str">
        <f aca="false">IF($E21="","",$I21-$K21)</f>
        <v/>
      </c>
      <c r="M21" s="22" t="str">
        <f aca="false">IF($A21="","",YEAR($A21))</f>
        <v/>
      </c>
      <c r="N21" s="22" t="str">
        <f aca="false">IF($A21="","",ROUNDUP(MONTH($A21)/3,0))</f>
        <v/>
      </c>
    </row>
    <row r="22" customFormat="false" ht="15" hidden="false" customHeight="false" outlineLevel="0" collapsed="false">
      <c r="A22" s="18"/>
      <c r="B22" s="19"/>
      <c r="C22" s="19"/>
      <c r="D22" s="19"/>
      <c r="E22" s="14"/>
      <c r="F22" s="20"/>
      <c r="G22" s="21" t="str">
        <f aca="false">IF($E22="","",ROUND($E22*Ajustes!$B$4,2))</f>
        <v/>
      </c>
      <c r="H22" s="21" t="str">
        <f aca="false">IF($E22="","",ROUND($E22*N($F22),2))</f>
        <v/>
      </c>
      <c r="I22" s="21" t="str">
        <f aca="false">IF($E22="","",$E22+$G22-$H22)</f>
        <v/>
      </c>
      <c r="J22" s="21" t="str">
        <f aca="false">IF($E22="","",IF(Ajustes!$B$6="Sí",MAX(0,ROUND($E22*Ajustes!$B$5-$H22,2)),0))</f>
        <v/>
      </c>
      <c r="K22" s="21" t="str">
        <f aca="false">IF($E22="","",$G22+$J22)</f>
        <v/>
      </c>
      <c r="L22" s="21" t="str">
        <f aca="false">IF($E22="","",$I22-$K22)</f>
        <v/>
      </c>
      <c r="M22" s="22" t="str">
        <f aca="false">IF($A22="","",YEAR($A22))</f>
        <v/>
      </c>
      <c r="N22" s="22" t="str">
        <f aca="false">IF($A22="","",ROUNDUP(MONTH($A22)/3,0))</f>
        <v/>
      </c>
    </row>
    <row r="23" customFormat="false" ht="15" hidden="false" customHeight="false" outlineLevel="0" collapsed="false">
      <c r="A23" s="18"/>
      <c r="B23" s="19"/>
      <c r="C23" s="19"/>
      <c r="D23" s="19"/>
      <c r="E23" s="14"/>
      <c r="F23" s="20"/>
      <c r="G23" s="21" t="str">
        <f aca="false">IF($E23="","",ROUND($E23*Ajustes!$B$4,2))</f>
        <v/>
      </c>
      <c r="H23" s="21" t="str">
        <f aca="false">IF($E23="","",ROUND($E23*N($F23),2))</f>
        <v/>
      </c>
      <c r="I23" s="21" t="str">
        <f aca="false">IF($E23="","",$E23+$G23-$H23)</f>
        <v/>
      </c>
      <c r="J23" s="21" t="str">
        <f aca="false">IF($E23="","",IF(Ajustes!$B$6="Sí",MAX(0,ROUND($E23*Ajustes!$B$5-$H23,2)),0))</f>
        <v/>
      </c>
      <c r="K23" s="21" t="str">
        <f aca="false">IF($E23="","",$G23+$J23)</f>
        <v/>
      </c>
      <c r="L23" s="21" t="str">
        <f aca="false">IF($E23="","",$I23-$K23)</f>
        <v/>
      </c>
      <c r="M23" s="22" t="str">
        <f aca="false">IF($A23="","",YEAR($A23))</f>
        <v/>
      </c>
      <c r="N23" s="22" t="str">
        <f aca="false">IF($A23="","",ROUNDUP(MONTH($A23)/3,0))</f>
        <v/>
      </c>
    </row>
    <row r="24" customFormat="false" ht="15" hidden="false" customHeight="false" outlineLevel="0" collapsed="false">
      <c r="A24" s="18"/>
      <c r="B24" s="19"/>
      <c r="C24" s="19"/>
      <c r="D24" s="19"/>
      <c r="E24" s="14"/>
      <c r="F24" s="20"/>
      <c r="G24" s="21" t="str">
        <f aca="false">IF($E24="","",ROUND($E24*Ajustes!$B$4,2))</f>
        <v/>
      </c>
      <c r="H24" s="21" t="str">
        <f aca="false">IF($E24="","",ROUND($E24*N($F24),2))</f>
        <v/>
      </c>
      <c r="I24" s="21" t="str">
        <f aca="false">IF($E24="","",$E24+$G24-$H24)</f>
        <v/>
      </c>
      <c r="J24" s="21" t="str">
        <f aca="false">IF($E24="","",IF(Ajustes!$B$6="Sí",MAX(0,ROUND($E24*Ajustes!$B$5-$H24,2)),0))</f>
        <v/>
      </c>
      <c r="K24" s="21" t="str">
        <f aca="false">IF($E24="","",$G24+$J24)</f>
        <v/>
      </c>
      <c r="L24" s="21" t="str">
        <f aca="false">IF($E24="","",$I24-$K24)</f>
        <v/>
      </c>
      <c r="M24" s="22" t="str">
        <f aca="false">IF($A24="","",YEAR($A24))</f>
        <v/>
      </c>
      <c r="N24" s="22" t="str">
        <f aca="false">IF($A24="","",ROUNDUP(MONTH($A24)/3,0))</f>
        <v/>
      </c>
    </row>
    <row r="25" customFormat="false" ht="15" hidden="false" customHeight="false" outlineLevel="0" collapsed="false">
      <c r="A25" s="18"/>
      <c r="B25" s="19"/>
      <c r="C25" s="19"/>
      <c r="D25" s="19"/>
      <c r="E25" s="14"/>
      <c r="F25" s="20"/>
      <c r="G25" s="21" t="str">
        <f aca="false">IF($E25="","",ROUND($E25*Ajustes!$B$4,2))</f>
        <v/>
      </c>
      <c r="H25" s="21" t="str">
        <f aca="false">IF($E25="","",ROUND($E25*N($F25),2))</f>
        <v/>
      </c>
      <c r="I25" s="21" t="str">
        <f aca="false">IF($E25="","",$E25+$G25-$H25)</f>
        <v/>
      </c>
      <c r="J25" s="21" t="str">
        <f aca="false">IF($E25="","",IF(Ajustes!$B$6="Sí",MAX(0,ROUND($E25*Ajustes!$B$5-$H25,2)),0))</f>
        <v/>
      </c>
      <c r="K25" s="21" t="str">
        <f aca="false">IF($E25="","",$G25+$J25)</f>
        <v/>
      </c>
      <c r="L25" s="21" t="str">
        <f aca="false">IF($E25="","",$I25-$K25)</f>
        <v/>
      </c>
      <c r="M25" s="22" t="str">
        <f aca="false">IF($A25="","",YEAR($A25))</f>
        <v/>
      </c>
      <c r="N25" s="22" t="str">
        <f aca="false">IF($A25="","",ROUNDUP(MONTH($A25)/3,0))</f>
        <v/>
      </c>
    </row>
    <row r="26" customFormat="false" ht="15" hidden="false" customHeight="false" outlineLevel="0" collapsed="false">
      <c r="A26" s="18"/>
      <c r="B26" s="19"/>
      <c r="C26" s="19"/>
      <c r="D26" s="19"/>
      <c r="E26" s="14"/>
      <c r="F26" s="20"/>
      <c r="G26" s="21" t="str">
        <f aca="false">IF($E26="","",ROUND($E26*Ajustes!$B$4,2))</f>
        <v/>
      </c>
      <c r="H26" s="21" t="str">
        <f aca="false">IF($E26="","",ROUND($E26*N($F26),2))</f>
        <v/>
      </c>
      <c r="I26" s="21" t="str">
        <f aca="false">IF($E26="","",$E26+$G26-$H26)</f>
        <v/>
      </c>
      <c r="J26" s="21" t="str">
        <f aca="false">IF($E26="","",IF(Ajustes!$B$6="Sí",MAX(0,ROUND($E26*Ajustes!$B$5-$H26,2)),0))</f>
        <v/>
      </c>
      <c r="K26" s="21" t="str">
        <f aca="false">IF($E26="","",$G26+$J26)</f>
        <v/>
      </c>
      <c r="L26" s="21" t="str">
        <f aca="false">IF($E26="","",$I26-$K26)</f>
        <v/>
      </c>
      <c r="M26" s="22" t="str">
        <f aca="false">IF($A26="","",YEAR($A26))</f>
        <v/>
      </c>
      <c r="N26" s="22" t="str">
        <f aca="false">IF($A26="","",ROUNDUP(MONTH($A26)/3,0))</f>
        <v/>
      </c>
    </row>
    <row r="27" customFormat="false" ht="15" hidden="false" customHeight="false" outlineLevel="0" collapsed="false">
      <c r="A27" s="18"/>
      <c r="B27" s="19"/>
      <c r="C27" s="19"/>
      <c r="D27" s="19"/>
      <c r="E27" s="14"/>
      <c r="F27" s="20"/>
      <c r="G27" s="21" t="str">
        <f aca="false">IF($E27="","",ROUND($E27*Ajustes!$B$4,2))</f>
        <v/>
      </c>
      <c r="H27" s="21" t="str">
        <f aca="false">IF($E27="","",ROUND($E27*N($F27),2))</f>
        <v/>
      </c>
      <c r="I27" s="21" t="str">
        <f aca="false">IF($E27="","",$E27+$G27-$H27)</f>
        <v/>
      </c>
      <c r="J27" s="21" t="str">
        <f aca="false">IF($E27="","",IF(Ajustes!$B$6="Sí",MAX(0,ROUND($E27*Ajustes!$B$5-$H27,2)),0))</f>
        <v/>
      </c>
      <c r="K27" s="21" t="str">
        <f aca="false">IF($E27="","",$G27+$J27)</f>
        <v/>
      </c>
      <c r="L27" s="21" t="str">
        <f aca="false">IF($E27="","",$I27-$K27)</f>
        <v/>
      </c>
      <c r="M27" s="22" t="str">
        <f aca="false">IF($A27="","",YEAR($A27))</f>
        <v/>
      </c>
      <c r="N27" s="22" t="str">
        <f aca="false">IF($A27="","",ROUNDUP(MONTH($A27)/3,0))</f>
        <v/>
      </c>
    </row>
    <row r="28" customFormat="false" ht="15" hidden="false" customHeight="false" outlineLevel="0" collapsed="false">
      <c r="A28" s="18"/>
      <c r="B28" s="19"/>
      <c r="C28" s="19"/>
      <c r="D28" s="19"/>
      <c r="E28" s="14"/>
      <c r="F28" s="20"/>
      <c r="G28" s="21" t="str">
        <f aca="false">IF($E28="","",ROUND($E28*Ajustes!$B$4,2))</f>
        <v/>
      </c>
      <c r="H28" s="21" t="str">
        <f aca="false">IF($E28="","",ROUND($E28*N($F28),2))</f>
        <v/>
      </c>
      <c r="I28" s="21" t="str">
        <f aca="false">IF($E28="","",$E28+$G28-$H28)</f>
        <v/>
      </c>
      <c r="J28" s="21" t="str">
        <f aca="false">IF($E28="","",IF(Ajustes!$B$6="Sí",MAX(0,ROUND($E28*Ajustes!$B$5-$H28,2)),0))</f>
        <v/>
      </c>
      <c r="K28" s="21" t="str">
        <f aca="false">IF($E28="","",$G28+$J28)</f>
        <v/>
      </c>
      <c r="L28" s="21" t="str">
        <f aca="false">IF($E28="","",$I28-$K28)</f>
        <v/>
      </c>
      <c r="M28" s="22" t="str">
        <f aca="false">IF($A28="","",YEAR($A28))</f>
        <v/>
      </c>
      <c r="N28" s="22" t="str">
        <f aca="false">IF($A28="","",ROUNDUP(MONTH($A28)/3,0))</f>
        <v/>
      </c>
    </row>
    <row r="29" customFormat="false" ht="15" hidden="false" customHeight="false" outlineLevel="0" collapsed="false">
      <c r="A29" s="18"/>
      <c r="B29" s="19"/>
      <c r="C29" s="19"/>
      <c r="D29" s="19"/>
      <c r="E29" s="14"/>
      <c r="F29" s="20"/>
      <c r="G29" s="21" t="str">
        <f aca="false">IF($E29="","",ROUND($E29*Ajustes!$B$4,2))</f>
        <v/>
      </c>
      <c r="H29" s="21" t="str">
        <f aca="false">IF($E29="","",ROUND($E29*N($F29),2))</f>
        <v/>
      </c>
      <c r="I29" s="21" t="str">
        <f aca="false">IF($E29="","",$E29+$G29-$H29)</f>
        <v/>
      </c>
      <c r="J29" s="21" t="str">
        <f aca="false">IF($E29="","",IF(Ajustes!$B$6="Sí",MAX(0,ROUND($E29*Ajustes!$B$5-$H29,2)),0))</f>
        <v/>
      </c>
      <c r="K29" s="21" t="str">
        <f aca="false">IF($E29="","",$G29+$J29)</f>
        <v/>
      </c>
      <c r="L29" s="21" t="str">
        <f aca="false">IF($E29="","",$I29-$K29)</f>
        <v/>
      </c>
      <c r="M29" s="22" t="str">
        <f aca="false">IF($A29="","",YEAR($A29))</f>
        <v/>
      </c>
      <c r="N29" s="22" t="str">
        <f aca="false">IF($A29="","",ROUNDUP(MONTH($A29)/3,0))</f>
        <v/>
      </c>
    </row>
    <row r="30" customFormat="false" ht="15" hidden="false" customHeight="false" outlineLevel="0" collapsed="false">
      <c r="A30" s="18"/>
      <c r="B30" s="19"/>
      <c r="C30" s="19"/>
      <c r="D30" s="19"/>
      <c r="E30" s="14"/>
      <c r="F30" s="20"/>
      <c r="G30" s="21" t="str">
        <f aca="false">IF($E30="","",ROUND($E30*Ajustes!$B$4,2))</f>
        <v/>
      </c>
      <c r="H30" s="21" t="str">
        <f aca="false">IF($E30="","",ROUND($E30*N($F30),2))</f>
        <v/>
      </c>
      <c r="I30" s="21" t="str">
        <f aca="false">IF($E30="","",$E30+$G30-$H30)</f>
        <v/>
      </c>
      <c r="J30" s="21" t="str">
        <f aca="false">IF($E30="","",IF(Ajustes!$B$6="Sí",MAX(0,ROUND($E30*Ajustes!$B$5-$H30,2)),0))</f>
        <v/>
      </c>
      <c r="K30" s="21" t="str">
        <f aca="false">IF($E30="","",$G30+$J30)</f>
        <v/>
      </c>
      <c r="L30" s="21" t="str">
        <f aca="false">IF($E30="","",$I30-$K30)</f>
        <v/>
      </c>
      <c r="M30" s="22" t="str">
        <f aca="false">IF($A30="","",YEAR($A30))</f>
        <v/>
      </c>
      <c r="N30" s="22" t="str">
        <f aca="false">IF($A30="","",ROUNDUP(MONTH($A30)/3,0))</f>
        <v/>
      </c>
    </row>
    <row r="31" customFormat="false" ht="15" hidden="false" customHeight="false" outlineLevel="0" collapsed="false">
      <c r="A31" s="18"/>
      <c r="B31" s="19"/>
      <c r="C31" s="19"/>
      <c r="D31" s="19"/>
      <c r="E31" s="14"/>
      <c r="F31" s="20"/>
      <c r="G31" s="21" t="str">
        <f aca="false">IF($E31="","",ROUND($E31*Ajustes!$B$4,2))</f>
        <v/>
      </c>
      <c r="H31" s="21" t="str">
        <f aca="false">IF($E31="","",ROUND($E31*N($F31),2))</f>
        <v/>
      </c>
      <c r="I31" s="21" t="str">
        <f aca="false">IF($E31="","",$E31+$G31-$H31)</f>
        <v/>
      </c>
      <c r="J31" s="21" t="str">
        <f aca="false">IF($E31="","",IF(Ajustes!$B$6="Sí",MAX(0,ROUND($E31*Ajustes!$B$5-$H31,2)),0))</f>
        <v/>
      </c>
      <c r="K31" s="21" t="str">
        <f aca="false">IF($E31="","",$G31+$J31)</f>
        <v/>
      </c>
      <c r="L31" s="21" t="str">
        <f aca="false">IF($E31="","",$I31-$K31)</f>
        <v/>
      </c>
      <c r="M31" s="22" t="str">
        <f aca="false">IF($A31="","",YEAR($A31))</f>
        <v/>
      </c>
      <c r="N31" s="22" t="str">
        <f aca="false">IF($A31="","",ROUNDUP(MONTH($A31)/3,0))</f>
        <v/>
      </c>
    </row>
    <row r="32" customFormat="false" ht="15" hidden="false" customHeight="false" outlineLevel="0" collapsed="false">
      <c r="A32" s="18"/>
      <c r="B32" s="19"/>
      <c r="C32" s="19"/>
      <c r="D32" s="19"/>
      <c r="E32" s="14"/>
      <c r="F32" s="20"/>
      <c r="G32" s="21" t="str">
        <f aca="false">IF($E32="","",ROUND($E32*Ajustes!$B$4,2))</f>
        <v/>
      </c>
      <c r="H32" s="21" t="str">
        <f aca="false">IF($E32="","",ROUND($E32*N($F32),2))</f>
        <v/>
      </c>
      <c r="I32" s="21" t="str">
        <f aca="false">IF($E32="","",$E32+$G32-$H32)</f>
        <v/>
      </c>
      <c r="J32" s="21" t="str">
        <f aca="false">IF($E32="","",IF(Ajustes!$B$6="Sí",MAX(0,ROUND($E32*Ajustes!$B$5-$H32,2)),0))</f>
        <v/>
      </c>
      <c r="K32" s="21" t="str">
        <f aca="false">IF($E32="","",$G32+$J32)</f>
        <v/>
      </c>
      <c r="L32" s="21" t="str">
        <f aca="false">IF($E32="","",$I32-$K32)</f>
        <v/>
      </c>
      <c r="M32" s="22" t="str">
        <f aca="false">IF($A32="","",YEAR($A32))</f>
        <v/>
      </c>
      <c r="N32" s="22" t="str">
        <f aca="false">IF($A32="","",ROUNDUP(MONTH($A32)/3,0))</f>
        <v/>
      </c>
    </row>
    <row r="33" customFormat="false" ht="15" hidden="false" customHeight="false" outlineLevel="0" collapsed="false">
      <c r="A33" s="18"/>
      <c r="B33" s="19"/>
      <c r="C33" s="19"/>
      <c r="D33" s="19"/>
      <c r="E33" s="14"/>
      <c r="F33" s="20"/>
      <c r="G33" s="21" t="str">
        <f aca="false">IF($E33="","",ROUND($E33*Ajustes!$B$4,2))</f>
        <v/>
      </c>
      <c r="H33" s="21" t="str">
        <f aca="false">IF($E33="","",ROUND($E33*N($F33),2))</f>
        <v/>
      </c>
      <c r="I33" s="21" t="str">
        <f aca="false">IF($E33="","",$E33+$G33-$H33)</f>
        <v/>
      </c>
      <c r="J33" s="21" t="str">
        <f aca="false">IF($E33="","",IF(Ajustes!$B$6="Sí",MAX(0,ROUND($E33*Ajustes!$B$5-$H33,2)),0))</f>
        <v/>
      </c>
      <c r="K33" s="21" t="str">
        <f aca="false">IF($E33="","",$G33+$J33)</f>
        <v/>
      </c>
      <c r="L33" s="21" t="str">
        <f aca="false">IF($E33="","",$I33-$K33)</f>
        <v/>
      </c>
      <c r="M33" s="22" t="str">
        <f aca="false">IF($A33="","",YEAR($A33))</f>
        <v/>
      </c>
      <c r="N33" s="22" t="str">
        <f aca="false">IF($A33="","",ROUNDUP(MONTH($A33)/3,0))</f>
        <v/>
      </c>
    </row>
    <row r="34" customFormat="false" ht="15" hidden="false" customHeight="false" outlineLevel="0" collapsed="false">
      <c r="A34" s="18"/>
      <c r="B34" s="19"/>
      <c r="C34" s="19"/>
      <c r="D34" s="19"/>
      <c r="E34" s="14"/>
      <c r="F34" s="20"/>
      <c r="G34" s="21" t="str">
        <f aca="false">IF($E34="","",ROUND($E34*Ajustes!$B$4,2))</f>
        <v/>
      </c>
      <c r="H34" s="21" t="str">
        <f aca="false">IF($E34="","",ROUND($E34*N($F34),2))</f>
        <v/>
      </c>
      <c r="I34" s="21" t="str">
        <f aca="false">IF($E34="","",$E34+$G34-$H34)</f>
        <v/>
      </c>
      <c r="J34" s="21" t="str">
        <f aca="false">IF($E34="","",IF(Ajustes!$B$6="Sí",MAX(0,ROUND($E34*Ajustes!$B$5-$H34,2)),0))</f>
        <v/>
      </c>
      <c r="K34" s="21" t="str">
        <f aca="false">IF($E34="","",$G34+$J34)</f>
        <v/>
      </c>
      <c r="L34" s="21" t="str">
        <f aca="false">IF($E34="","",$I34-$K34)</f>
        <v/>
      </c>
      <c r="M34" s="22" t="str">
        <f aca="false">IF($A34="","",YEAR($A34))</f>
        <v/>
      </c>
      <c r="N34" s="22" t="str">
        <f aca="false">IF($A34="","",ROUNDUP(MONTH($A34)/3,0))</f>
        <v/>
      </c>
    </row>
    <row r="35" customFormat="false" ht="15" hidden="false" customHeight="false" outlineLevel="0" collapsed="false">
      <c r="A35" s="18"/>
      <c r="B35" s="19"/>
      <c r="C35" s="19"/>
      <c r="D35" s="19"/>
      <c r="E35" s="14"/>
      <c r="F35" s="20"/>
      <c r="G35" s="21" t="str">
        <f aca="false">IF($E35="","",ROUND($E35*Ajustes!$B$4,2))</f>
        <v/>
      </c>
      <c r="H35" s="21" t="str">
        <f aca="false">IF($E35="","",ROUND($E35*N($F35),2))</f>
        <v/>
      </c>
      <c r="I35" s="21" t="str">
        <f aca="false">IF($E35="","",$E35+$G35-$H35)</f>
        <v/>
      </c>
      <c r="J35" s="21" t="str">
        <f aca="false">IF($E35="","",IF(Ajustes!$B$6="Sí",MAX(0,ROUND($E35*Ajustes!$B$5-$H35,2)),0))</f>
        <v/>
      </c>
      <c r="K35" s="21" t="str">
        <f aca="false">IF($E35="","",$G35+$J35)</f>
        <v/>
      </c>
      <c r="L35" s="21" t="str">
        <f aca="false">IF($E35="","",$I35-$K35)</f>
        <v/>
      </c>
      <c r="M35" s="22" t="str">
        <f aca="false">IF($A35="","",YEAR($A35))</f>
        <v/>
      </c>
      <c r="N35" s="22" t="str">
        <f aca="false">IF($A35="","",ROUNDUP(MONTH($A35)/3,0))</f>
        <v/>
      </c>
    </row>
    <row r="36" customFormat="false" ht="15" hidden="false" customHeight="false" outlineLevel="0" collapsed="false">
      <c r="A36" s="18"/>
      <c r="B36" s="19"/>
      <c r="C36" s="19"/>
      <c r="D36" s="19"/>
      <c r="E36" s="14"/>
      <c r="F36" s="20"/>
      <c r="G36" s="21" t="str">
        <f aca="false">IF($E36="","",ROUND($E36*Ajustes!$B$4,2))</f>
        <v/>
      </c>
      <c r="H36" s="21" t="str">
        <f aca="false">IF($E36="","",ROUND($E36*N($F36),2))</f>
        <v/>
      </c>
      <c r="I36" s="21" t="str">
        <f aca="false">IF($E36="","",$E36+$G36-$H36)</f>
        <v/>
      </c>
      <c r="J36" s="21" t="str">
        <f aca="false">IF($E36="","",IF(Ajustes!$B$6="Sí",MAX(0,ROUND($E36*Ajustes!$B$5-$H36,2)),0))</f>
        <v/>
      </c>
      <c r="K36" s="21" t="str">
        <f aca="false">IF($E36="","",$G36+$J36)</f>
        <v/>
      </c>
      <c r="L36" s="21" t="str">
        <f aca="false">IF($E36="","",$I36-$K36)</f>
        <v/>
      </c>
      <c r="M36" s="22" t="str">
        <f aca="false">IF($A36="","",YEAR($A36))</f>
        <v/>
      </c>
      <c r="N36" s="22" t="str">
        <f aca="false">IF($A36="","",ROUNDUP(MONTH($A36)/3,0))</f>
        <v/>
      </c>
    </row>
    <row r="37" customFormat="false" ht="15" hidden="false" customHeight="false" outlineLevel="0" collapsed="false">
      <c r="A37" s="18"/>
      <c r="B37" s="19"/>
      <c r="C37" s="19"/>
      <c r="D37" s="19"/>
      <c r="E37" s="14"/>
      <c r="F37" s="20"/>
      <c r="G37" s="21" t="str">
        <f aca="false">IF($E37="","",ROUND($E37*Ajustes!$B$4,2))</f>
        <v/>
      </c>
      <c r="H37" s="21" t="str">
        <f aca="false">IF($E37="","",ROUND($E37*N($F37),2))</f>
        <v/>
      </c>
      <c r="I37" s="21" t="str">
        <f aca="false">IF($E37="","",$E37+$G37-$H37)</f>
        <v/>
      </c>
      <c r="J37" s="21" t="str">
        <f aca="false">IF($E37="","",IF(Ajustes!$B$6="Sí",MAX(0,ROUND($E37*Ajustes!$B$5-$H37,2)),0))</f>
        <v/>
      </c>
      <c r="K37" s="21" t="str">
        <f aca="false">IF($E37="","",$G37+$J37)</f>
        <v/>
      </c>
      <c r="L37" s="21" t="str">
        <f aca="false">IF($E37="","",$I37-$K37)</f>
        <v/>
      </c>
      <c r="M37" s="22" t="str">
        <f aca="false">IF($A37="","",YEAR($A37))</f>
        <v/>
      </c>
      <c r="N37" s="22" t="str">
        <f aca="false">IF($A37="","",ROUNDUP(MONTH($A37)/3,0))</f>
        <v/>
      </c>
    </row>
    <row r="38" customFormat="false" ht="15" hidden="false" customHeight="false" outlineLevel="0" collapsed="false">
      <c r="A38" s="18"/>
      <c r="B38" s="19"/>
      <c r="C38" s="19"/>
      <c r="D38" s="19"/>
      <c r="E38" s="14"/>
      <c r="F38" s="20"/>
      <c r="G38" s="21" t="str">
        <f aca="false">IF($E38="","",ROUND($E38*Ajustes!$B$4,2))</f>
        <v/>
      </c>
      <c r="H38" s="21" t="str">
        <f aca="false">IF($E38="","",ROUND($E38*N($F38),2))</f>
        <v/>
      </c>
      <c r="I38" s="21" t="str">
        <f aca="false">IF($E38="","",$E38+$G38-$H38)</f>
        <v/>
      </c>
      <c r="J38" s="21" t="str">
        <f aca="false">IF($E38="","",IF(Ajustes!$B$6="Sí",MAX(0,ROUND($E38*Ajustes!$B$5-$H38,2)),0))</f>
        <v/>
      </c>
      <c r="K38" s="21" t="str">
        <f aca="false">IF($E38="","",$G38+$J38)</f>
        <v/>
      </c>
      <c r="L38" s="21" t="str">
        <f aca="false">IF($E38="","",$I38-$K38)</f>
        <v/>
      </c>
      <c r="M38" s="22" t="str">
        <f aca="false">IF($A38="","",YEAR($A38))</f>
        <v/>
      </c>
      <c r="N38" s="22" t="str">
        <f aca="false">IF($A38="","",ROUNDUP(MONTH($A38)/3,0))</f>
        <v/>
      </c>
    </row>
    <row r="39" customFormat="false" ht="15" hidden="false" customHeight="false" outlineLevel="0" collapsed="false">
      <c r="A39" s="18"/>
      <c r="B39" s="19"/>
      <c r="C39" s="19"/>
      <c r="D39" s="19"/>
      <c r="E39" s="14"/>
      <c r="F39" s="20"/>
      <c r="G39" s="21" t="str">
        <f aca="false">IF($E39="","",ROUND($E39*Ajustes!$B$4,2))</f>
        <v/>
      </c>
      <c r="H39" s="21" t="str">
        <f aca="false">IF($E39="","",ROUND($E39*N($F39),2))</f>
        <v/>
      </c>
      <c r="I39" s="21" t="str">
        <f aca="false">IF($E39="","",$E39+$G39-$H39)</f>
        <v/>
      </c>
      <c r="J39" s="21" t="str">
        <f aca="false">IF($E39="","",IF(Ajustes!$B$6="Sí",MAX(0,ROUND($E39*Ajustes!$B$5-$H39,2)),0))</f>
        <v/>
      </c>
      <c r="K39" s="21" t="str">
        <f aca="false">IF($E39="","",$G39+$J39)</f>
        <v/>
      </c>
      <c r="L39" s="21" t="str">
        <f aca="false">IF($E39="","",$I39-$K39)</f>
        <v/>
      </c>
      <c r="M39" s="22" t="str">
        <f aca="false">IF($A39="","",YEAR($A39))</f>
        <v/>
      </c>
      <c r="N39" s="22" t="str">
        <f aca="false">IF($A39="","",ROUNDUP(MONTH($A39)/3,0))</f>
        <v/>
      </c>
    </row>
    <row r="40" customFormat="false" ht="15" hidden="false" customHeight="false" outlineLevel="0" collapsed="false">
      <c r="A40" s="18"/>
      <c r="B40" s="19"/>
      <c r="C40" s="19"/>
      <c r="D40" s="19"/>
      <c r="E40" s="14"/>
      <c r="F40" s="20"/>
      <c r="G40" s="21" t="str">
        <f aca="false">IF($E40="","",ROUND($E40*Ajustes!$B$4,2))</f>
        <v/>
      </c>
      <c r="H40" s="21" t="str">
        <f aca="false">IF($E40="","",ROUND($E40*N($F40),2))</f>
        <v/>
      </c>
      <c r="I40" s="21" t="str">
        <f aca="false">IF($E40="","",$E40+$G40-$H40)</f>
        <v/>
      </c>
      <c r="J40" s="21" t="str">
        <f aca="false">IF($E40="","",IF(Ajustes!$B$6="Sí",MAX(0,ROUND($E40*Ajustes!$B$5-$H40,2)),0))</f>
        <v/>
      </c>
      <c r="K40" s="21" t="str">
        <f aca="false">IF($E40="","",$G40+$J40)</f>
        <v/>
      </c>
      <c r="L40" s="21" t="str">
        <f aca="false">IF($E40="","",$I40-$K40)</f>
        <v/>
      </c>
      <c r="M40" s="22" t="str">
        <f aca="false">IF($A40="","",YEAR($A40))</f>
        <v/>
      </c>
      <c r="N40" s="22" t="str">
        <f aca="false">IF($A40="","",ROUNDUP(MONTH($A40)/3,0))</f>
        <v/>
      </c>
    </row>
    <row r="41" customFormat="false" ht="15" hidden="false" customHeight="false" outlineLevel="0" collapsed="false">
      <c r="A41" s="18"/>
      <c r="B41" s="19"/>
      <c r="C41" s="19"/>
      <c r="D41" s="19"/>
      <c r="E41" s="14"/>
      <c r="F41" s="20"/>
      <c r="G41" s="21" t="str">
        <f aca="false">IF($E41="","",ROUND($E41*Ajustes!$B$4,2))</f>
        <v/>
      </c>
      <c r="H41" s="21" t="str">
        <f aca="false">IF($E41="","",ROUND($E41*N($F41),2))</f>
        <v/>
      </c>
      <c r="I41" s="21" t="str">
        <f aca="false">IF($E41="","",$E41+$G41-$H41)</f>
        <v/>
      </c>
      <c r="J41" s="21" t="str">
        <f aca="false">IF($E41="","",IF(Ajustes!$B$6="Sí",MAX(0,ROUND($E41*Ajustes!$B$5-$H41,2)),0))</f>
        <v/>
      </c>
      <c r="K41" s="21" t="str">
        <f aca="false">IF($E41="","",$G41+$J41)</f>
        <v/>
      </c>
      <c r="L41" s="21" t="str">
        <f aca="false">IF($E41="","",$I41-$K41)</f>
        <v/>
      </c>
      <c r="M41" s="22" t="str">
        <f aca="false">IF($A41="","",YEAR($A41))</f>
        <v/>
      </c>
      <c r="N41" s="22" t="str">
        <f aca="false">IF($A41="","",ROUNDUP(MONTH($A41)/3,0))</f>
        <v/>
      </c>
    </row>
    <row r="42" customFormat="false" ht="15" hidden="false" customHeight="false" outlineLevel="0" collapsed="false">
      <c r="A42" s="18"/>
      <c r="B42" s="19"/>
      <c r="C42" s="19"/>
      <c r="D42" s="19"/>
      <c r="E42" s="14"/>
      <c r="F42" s="20"/>
      <c r="G42" s="21" t="str">
        <f aca="false">IF($E42="","",ROUND($E42*Ajustes!$B$4,2))</f>
        <v/>
      </c>
      <c r="H42" s="21" t="str">
        <f aca="false">IF($E42="","",ROUND($E42*N($F42),2))</f>
        <v/>
      </c>
      <c r="I42" s="21" t="str">
        <f aca="false">IF($E42="","",$E42+$G42-$H42)</f>
        <v/>
      </c>
      <c r="J42" s="21" t="str">
        <f aca="false">IF($E42="","",IF(Ajustes!$B$6="Sí",MAX(0,ROUND($E42*Ajustes!$B$5-$H42,2)),0))</f>
        <v/>
      </c>
      <c r="K42" s="21" t="str">
        <f aca="false">IF($E42="","",$G42+$J42)</f>
        <v/>
      </c>
      <c r="L42" s="21" t="str">
        <f aca="false">IF($E42="","",$I42-$K42)</f>
        <v/>
      </c>
      <c r="M42" s="22" t="str">
        <f aca="false">IF($A42="","",YEAR($A42))</f>
        <v/>
      </c>
      <c r="N42" s="22" t="str">
        <f aca="false">IF($A42="","",ROUNDUP(MONTH($A42)/3,0))</f>
        <v/>
      </c>
    </row>
    <row r="43" customFormat="false" ht="15" hidden="false" customHeight="false" outlineLevel="0" collapsed="false">
      <c r="A43" s="18"/>
      <c r="B43" s="19"/>
      <c r="C43" s="19"/>
      <c r="D43" s="19"/>
      <c r="E43" s="14"/>
      <c r="F43" s="20"/>
      <c r="G43" s="21" t="str">
        <f aca="false">IF($E43="","",ROUND($E43*Ajustes!$B$4,2))</f>
        <v/>
      </c>
      <c r="H43" s="21" t="str">
        <f aca="false">IF($E43="","",ROUND($E43*N($F43),2))</f>
        <v/>
      </c>
      <c r="I43" s="21" t="str">
        <f aca="false">IF($E43="","",$E43+$G43-$H43)</f>
        <v/>
      </c>
      <c r="J43" s="21" t="str">
        <f aca="false">IF($E43="","",IF(Ajustes!$B$6="Sí",MAX(0,ROUND($E43*Ajustes!$B$5-$H43,2)),0))</f>
        <v/>
      </c>
      <c r="K43" s="21" t="str">
        <f aca="false">IF($E43="","",$G43+$J43)</f>
        <v/>
      </c>
      <c r="L43" s="21" t="str">
        <f aca="false">IF($E43="","",$I43-$K43)</f>
        <v/>
      </c>
      <c r="M43" s="22" t="str">
        <f aca="false">IF($A43="","",YEAR($A43))</f>
        <v/>
      </c>
      <c r="N43" s="22" t="str">
        <f aca="false">IF($A43="","",ROUNDUP(MONTH($A43)/3,0))</f>
        <v/>
      </c>
    </row>
    <row r="44" customFormat="false" ht="15" hidden="false" customHeight="false" outlineLevel="0" collapsed="false">
      <c r="A44" s="18"/>
      <c r="B44" s="19"/>
      <c r="C44" s="19"/>
      <c r="D44" s="19"/>
      <c r="E44" s="14"/>
      <c r="F44" s="20"/>
      <c r="G44" s="21" t="str">
        <f aca="false">IF($E44="","",ROUND($E44*Ajustes!$B$4,2))</f>
        <v/>
      </c>
      <c r="H44" s="21" t="str">
        <f aca="false">IF($E44="","",ROUND($E44*N($F44),2))</f>
        <v/>
      </c>
      <c r="I44" s="21" t="str">
        <f aca="false">IF($E44="","",$E44+$G44-$H44)</f>
        <v/>
      </c>
      <c r="J44" s="21" t="str">
        <f aca="false">IF($E44="","",IF(Ajustes!$B$6="Sí",MAX(0,ROUND($E44*Ajustes!$B$5-$H44,2)),0))</f>
        <v/>
      </c>
      <c r="K44" s="21" t="str">
        <f aca="false">IF($E44="","",$G44+$J44)</f>
        <v/>
      </c>
      <c r="L44" s="21" t="str">
        <f aca="false">IF($E44="","",$I44-$K44)</f>
        <v/>
      </c>
      <c r="M44" s="22" t="str">
        <f aca="false">IF($A44="","",YEAR($A44))</f>
        <v/>
      </c>
      <c r="N44" s="22" t="str">
        <f aca="false">IF($A44="","",ROUNDUP(MONTH($A44)/3,0))</f>
        <v/>
      </c>
    </row>
    <row r="45" customFormat="false" ht="15" hidden="false" customHeight="false" outlineLevel="0" collapsed="false">
      <c r="A45" s="18"/>
      <c r="B45" s="19"/>
      <c r="C45" s="19"/>
      <c r="D45" s="19"/>
      <c r="E45" s="14"/>
      <c r="F45" s="20"/>
      <c r="G45" s="21" t="str">
        <f aca="false">IF($E45="","",ROUND($E45*Ajustes!$B$4,2))</f>
        <v/>
      </c>
      <c r="H45" s="21" t="str">
        <f aca="false">IF($E45="","",ROUND($E45*N($F45),2))</f>
        <v/>
      </c>
      <c r="I45" s="21" t="str">
        <f aca="false">IF($E45="","",$E45+$G45-$H45)</f>
        <v/>
      </c>
      <c r="J45" s="21" t="str">
        <f aca="false">IF($E45="","",IF(Ajustes!$B$6="Sí",MAX(0,ROUND($E45*Ajustes!$B$5-$H45,2)),0))</f>
        <v/>
      </c>
      <c r="K45" s="21" t="str">
        <f aca="false">IF($E45="","",$G45+$J45)</f>
        <v/>
      </c>
      <c r="L45" s="21" t="str">
        <f aca="false">IF($E45="","",$I45-$K45)</f>
        <v/>
      </c>
      <c r="M45" s="22" t="str">
        <f aca="false">IF($A45="","",YEAR($A45))</f>
        <v/>
      </c>
      <c r="N45" s="22" t="str">
        <f aca="false">IF($A45="","",ROUNDUP(MONTH($A45)/3,0))</f>
        <v/>
      </c>
    </row>
    <row r="46" customFormat="false" ht="15" hidden="false" customHeight="false" outlineLevel="0" collapsed="false">
      <c r="A46" s="18"/>
      <c r="B46" s="19"/>
      <c r="C46" s="19"/>
      <c r="D46" s="19"/>
      <c r="E46" s="14"/>
      <c r="F46" s="20"/>
      <c r="G46" s="21" t="str">
        <f aca="false">IF($E46="","",ROUND($E46*Ajustes!$B$4,2))</f>
        <v/>
      </c>
      <c r="H46" s="21" t="str">
        <f aca="false">IF($E46="","",ROUND($E46*N($F46),2))</f>
        <v/>
      </c>
      <c r="I46" s="21" t="str">
        <f aca="false">IF($E46="","",$E46+$G46-$H46)</f>
        <v/>
      </c>
      <c r="J46" s="21" t="str">
        <f aca="false">IF($E46="","",IF(Ajustes!$B$6="Sí",MAX(0,ROUND($E46*Ajustes!$B$5-$H46,2)),0))</f>
        <v/>
      </c>
      <c r="K46" s="21" t="str">
        <f aca="false">IF($E46="","",$G46+$J46)</f>
        <v/>
      </c>
      <c r="L46" s="21" t="str">
        <f aca="false">IF($E46="","",$I46-$K46)</f>
        <v/>
      </c>
      <c r="M46" s="22" t="str">
        <f aca="false">IF($A46="","",YEAR($A46))</f>
        <v/>
      </c>
      <c r="N46" s="22" t="str">
        <f aca="false">IF($A46="","",ROUNDUP(MONTH($A46)/3,0))</f>
        <v/>
      </c>
    </row>
    <row r="47" customFormat="false" ht="15" hidden="false" customHeight="false" outlineLevel="0" collapsed="false">
      <c r="A47" s="18"/>
      <c r="B47" s="19"/>
      <c r="C47" s="19"/>
      <c r="D47" s="19"/>
      <c r="E47" s="14"/>
      <c r="F47" s="20"/>
      <c r="G47" s="21" t="str">
        <f aca="false">IF($E47="","",ROUND($E47*Ajustes!$B$4,2))</f>
        <v/>
      </c>
      <c r="H47" s="21" t="str">
        <f aca="false">IF($E47="","",ROUND($E47*N($F47),2))</f>
        <v/>
      </c>
      <c r="I47" s="21" t="str">
        <f aca="false">IF($E47="","",$E47+$G47-$H47)</f>
        <v/>
      </c>
      <c r="J47" s="21" t="str">
        <f aca="false">IF($E47="","",IF(Ajustes!$B$6="Sí",MAX(0,ROUND($E47*Ajustes!$B$5-$H47,2)),0))</f>
        <v/>
      </c>
      <c r="K47" s="21" t="str">
        <f aca="false">IF($E47="","",$G47+$J47)</f>
        <v/>
      </c>
      <c r="L47" s="21" t="str">
        <f aca="false">IF($E47="","",$I47-$K47)</f>
        <v/>
      </c>
      <c r="M47" s="22" t="str">
        <f aca="false">IF($A47="","",YEAR($A47))</f>
        <v/>
      </c>
      <c r="N47" s="22" t="str">
        <f aca="false">IF($A47="","",ROUNDUP(MONTH($A47)/3,0))</f>
        <v/>
      </c>
    </row>
    <row r="48" customFormat="false" ht="15" hidden="false" customHeight="false" outlineLevel="0" collapsed="false">
      <c r="A48" s="18"/>
      <c r="B48" s="19"/>
      <c r="C48" s="19"/>
      <c r="D48" s="19"/>
      <c r="E48" s="14"/>
      <c r="F48" s="20"/>
      <c r="G48" s="21" t="str">
        <f aca="false">IF($E48="","",ROUND($E48*Ajustes!$B$4,2))</f>
        <v/>
      </c>
      <c r="H48" s="21" t="str">
        <f aca="false">IF($E48="","",ROUND($E48*N($F48),2))</f>
        <v/>
      </c>
      <c r="I48" s="21" t="str">
        <f aca="false">IF($E48="","",$E48+$G48-$H48)</f>
        <v/>
      </c>
      <c r="J48" s="21" t="str">
        <f aca="false">IF($E48="","",IF(Ajustes!$B$6="Sí",MAX(0,ROUND($E48*Ajustes!$B$5-$H48,2)),0))</f>
        <v/>
      </c>
      <c r="K48" s="21" t="str">
        <f aca="false">IF($E48="","",$G48+$J48)</f>
        <v/>
      </c>
      <c r="L48" s="21" t="str">
        <f aca="false">IF($E48="","",$I48-$K48)</f>
        <v/>
      </c>
      <c r="M48" s="22" t="str">
        <f aca="false">IF($A48="","",YEAR($A48))</f>
        <v/>
      </c>
      <c r="N48" s="22" t="str">
        <f aca="false">IF($A48="","",ROUNDUP(MONTH($A48)/3,0))</f>
        <v/>
      </c>
    </row>
    <row r="49" customFormat="false" ht="15" hidden="false" customHeight="false" outlineLevel="0" collapsed="false">
      <c r="A49" s="18"/>
      <c r="B49" s="19"/>
      <c r="C49" s="19"/>
      <c r="D49" s="19"/>
      <c r="E49" s="14"/>
      <c r="F49" s="20"/>
      <c r="G49" s="21" t="str">
        <f aca="false">IF($E49="","",ROUND($E49*Ajustes!$B$4,2))</f>
        <v/>
      </c>
      <c r="H49" s="21" t="str">
        <f aca="false">IF($E49="","",ROUND($E49*N($F49),2))</f>
        <v/>
      </c>
      <c r="I49" s="21" t="str">
        <f aca="false">IF($E49="","",$E49+$G49-$H49)</f>
        <v/>
      </c>
      <c r="J49" s="21" t="str">
        <f aca="false">IF($E49="","",IF(Ajustes!$B$6="Sí",MAX(0,ROUND($E49*Ajustes!$B$5-$H49,2)),0))</f>
        <v/>
      </c>
      <c r="K49" s="21" t="str">
        <f aca="false">IF($E49="","",$G49+$J49)</f>
        <v/>
      </c>
      <c r="L49" s="21" t="str">
        <f aca="false">IF($E49="","",$I49-$K49)</f>
        <v/>
      </c>
      <c r="M49" s="22" t="str">
        <f aca="false">IF($A49="","",YEAR($A49))</f>
        <v/>
      </c>
      <c r="N49" s="22" t="str">
        <f aca="false">IF($A49="","",ROUNDUP(MONTH($A49)/3,0))</f>
        <v/>
      </c>
    </row>
    <row r="50" customFormat="false" ht="15" hidden="false" customHeight="false" outlineLevel="0" collapsed="false">
      <c r="A50" s="18"/>
      <c r="B50" s="19"/>
      <c r="C50" s="19"/>
      <c r="D50" s="19"/>
      <c r="E50" s="14"/>
      <c r="F50" s="20"/>
      <c r="G50" s="21" t="str">
        <f aca="false">IF($E50="","",ROUND($E50*Ajustes!$B$4,2))</f>
        <v/>
      </c>
      <c r="H50" s="21" t="str">
        <f aca="false">IF($E50="","",ROUND($E50*N($F50),2))</f>
        <v/>
      </c>
      <c r="I50" s="21" t="str">
        <f aca="false">IF($E50="","",$E50+$G50-$H50)</f>
        <v/>
      </c>
      <c r="J50" s="21" t="str">
        <f aca="false">IF($E50="","",IF(Ajustes!$B$6="Sí",MAX(0,ROUND($E50*Ajustes!$B$5-$H50,2)),0))</f>
        <v/>
      </c>
      <c r="K50" s="21" t="str">
        <f aca="false">IF($E50="","",$G50+$J50)</f>
        <v/>
      </c>
      <c r="L50" s="21" t="str">
        <f aca="false">IF($E50="","",$I50-$K50)</f>
        <v/>
      </c>
      <c r="M50" s="22" t="str">
        <f aca="false">IF($A50="","",YEAR($A50))</f>
        <v/>
      </c>
      <c r="N50" s="22" t="str">
        <f aca="false">IF($A50="","",ROUNDUP(MONTH($A50)/3,0))</f>
        <v/>
      </c>
    </row>
    <row r="51" customFormat="false" ht="15" hidden="false" customHeight="false" outlineLevel="0" collapsed="false">
      <c r="A51" s="18"/>
      <c r="B51" s="19"/>
      <c r="C51" s="19"/>
      <c r="D51" s="19"/>
      <c r="E51" s="14"/>
      <c r="F51" s="20"/>
      <c r="G51" s="21" t="str">
        <f aca="false">IF($E51="","",ROUND($E51*Ajustes!$B$4,2))</f>
        <v/>
      </c>
      <c r="H51" s="21" t="str">
        <f aca="false">IF($E51="","",ROUND($E51*N($F51),2))</f>
        <v/>
      </c>
      <c r="I51" s="21" t="str">
        <f aca="false">IF($E51="","",$E51+$G51-$H51)</f>
        <v/>
      </c>
      <c r="J51" s="21" t="str">
        <f aca="false">IF($E51="","",IF(Ajustes!$B$6="Sí",MAX(0,ROUND($E51*Ajustes!$B$5-$H51,2)),0))</f>
        <v/>
      </c>
      <c r="K51" s="21" t="str">
        <f aca="false">IF($E51="","",$G51+$J51)</f>
        <v/>
      </c>
      <c r="L51" s="21" t="str">
        <f aca="false">IF($E51="","",$I51-$K51)</f>
        <v/>
      </c>
      <c r="M51" s="22" t="str">
        <f aca="false">IF($A51="","",YEAR($A51))</f>
        <v/>
      </c>
      <c r="N51" s="22" t="str">
        <f aca="false">IF($A51="","",ROUNDUP(MONTH($A51)/3,0))</f>
        <v/>
      </c>
    </row>
    <row r="52" customFormat="false" ht="15" hidden="false" customHeight="false" outlineLevel="0" collapsed="false">
      <c r="A52" s="18"/>
      <c r="B52" s="19"/>
      <c r="C52" s="19"/>
      <c r="D52" s="19"/>
      <c r="E52" s="14"/>
      <c r="F52" s="20"/>
      <c r="G52" s="21" t="str">
        <f aca="false">IF($E52="","",ROUND($E52*Ajustes!$B$4,2))</f>
        <v/>
      </c>
      <c r="H52" s="21" t="str">
        <f aca="false">IF($E52="","",ROUND($E52*N($F52),2))</f>
        <v/>
      </c>
      <c r="I52" s="21" t="str">
        <f aca="false">IF($E52="","",$E52+$G52-$H52)</f>
        <v/>
      </c>
      <c r="J52" s="21" t="str">
        <f aca="false">IF($E52="","",IF(Ajustes!$B$6="Sí",MAX(0,ROUND($E52*Ajustes!$B$5-$H52,2)),0))</f>
        <v/>
      </c>
      <c r="K52" s="21" t="str">
        <f aca="false">IF($E52="","",$G52+$J52)</f>
        <v/>
      </c>
      <c r="L52" s="21" t="str">
        <f aca="false">IF($E52="","",$I52-$K52)</f>
        <v/>
      </c>
      <c r="M52" s="22" t="str">
        <f aca="false">IF($A52="","",YEAR($A52))</f>
        <v/>
      </c>
      <c r="N52" s="22" t="str">
        <f aca="false">IF($A52="","",ROUNDUP(MONTH($A52)/3,0))</f>
        <v/>
      </c>
    </row>
    <row r="53" customFormat="false" ht="15" hidden="false" customHeight="false" outlineLevel="0" collapsed="false">
      <c r="A53" s="18"/>
      <c r="B53" s="19"/>
      <c r="C53" s="19"/>
      <c r="D53" s="19"/>
      <c r="E53" s="14"/>
      <c r="F53" s="20"/>
      <c r="G53" s="21" t="str">
        <f aca="false">IF($E53="","",ROUND($E53*Ajustes!$B$4,2))</f>
        <v/>
      </c>
      <c r="H53" s="21" t="str">
        <f aca="false">IF($E53="","",ROUND($E53*N($F53),2))</f>
        <v/>
      </c>
      <c r="I53" s="21" t="str">
        <f aca="false">IF($E53="","",$E53+$G53-$H53)</f>
        <v/>
      </c>
      <c r="J53" s="21" t="str">
        <f aca="false">IF($E53="","",IF(Ajustes!$B$6="Sí",MAX(0,ROUND($E53*Ajustes!$B$5-$H53,2)),0))</f>
        <v/>
      </c>
      <c r="K53" s="21" t="str">
        <f aca="false">IF($E53="","",$G53+$J53)</f>
        <v/>
      </c>
      <c r="L53" s="21" t="str">
        <f aca="false">IF($E53="","",$I53-$K53)</f>
        <v/>
      </c>
      <c r="M53" s="22" t="str">
        <f aca="false">IF($A53="","",YEAR($A53))</f>
        <v/>
      </c>
      <c r="N53" s="22" t="str">
        <f aca="false">IF($A53="","",ROUNDUP(MONTH($A53)/3,0))</f>
        <v/>
      </c>
    </row>
    <row r="54" customFormat="false" ht="15" hidden="false" customHeight="false" outlineLevel="0" collapsed="false">
      <c r="A54" s="18"/>
      <c r="B54" s="19"/>
      <c r="C54" s="19"/>
      <c r="D54" s="19"/>
      <c r="E54" s="14"/>
      <c r="F54" s="20"/>
      <c r="G54" s="21" t="str">
        <f aca="false">IF($E54="","",ROUND($E54*Ajustes!$B$4,2))</f>
        <v/>
      </c>
      <c r="H54" s="21" t="str">
        <f aca="false">IF($E54="","",ROUND($E54*N($F54),2))</f>
        <v/>
      </c>
      <c r="I54" s="21" t="str">
        <f aca="false">IF($E54="","",$E54+$G54-$H54)</f>
        <v/>
      </c>
      <c r="J54" s="21" t="str">
        <f aca="false">IF($E54="","",IF(Ajustes!$B$6="Sí",MAX(0,ROUND($E54*Ajustes!$B$5-$H54,2)),0))</f>
        <v/>
      </c>
      <c r="K54" s="21" t="str">
        <f aca="false">IF($E54="","",$G54+$J54)</f>
        <v/>
      </c>
      <c r="L54" s="21" t="str">
        <f aca="false">IF($E54="","",$I54-$K54)</f>
        <v/>
      </c>
      <c r="M54" s="22" t="str">
        <f aca="false">IF($A54="","",YEAR($A54))</f>
        <v/>
      </c>
      <c r="N54" s="22" t="str">
        <f aca="false">IF($A54="","",ROUNDUP(MONTH($A54)/3,0))</f>
        <v/>
      </c>
    </row>
    <row r="55" customFormat="false" ht="15" hidden="false" customHeight="false" outlineLevel="0" collapsed="false">
      <c r="A55" s="18"/>
      <c r="B55" s="19"/>
      <c r="C55" s="19"/>
      <c r="D55" s="19"/>
      <c r="E55" s="14"/>
      <c r="F55" s="20"/>
      <c r="G55" s="21" t="str">
        <f aca="false">IF($E55="","",ROUND($E55*Ajustes!$B$4,2))</f>
        <v/>
      </c>
      <c r="H55" s="21" t="str">
        <f aca="false">IF($E55="","",ROUND($E55*N($F55),2))</f>
        <v/>
      </c>
      <c r="I55" s="21" t="str">
        <f aca="false">IF($E55="","",$E55+$G55-$H55)</f>
        <v/>
      </c>
      <c r="J55" s="21" t="str">
        <f aca="false">IF($E55="","",IF(Ajustes!$B$6="Sí",MAX(0,ROUND($E55*Ajustes!$B$5-$H55,2)),0))</f>
        <v/>
      </c>
      <c r="K55" s="21" t="str">
        <f aca="false">IF($E55="","",$G55+$J55)</f>
        <v/>
      </c>
      <c r="L55" s="21" t="str">
        <f aca="false">IF($E55="","",$I55-$K55)</f>
        <v/>
      </c>
      <c r="M55" s="22" t="str">
        <f aca="false">IF($A55="","",YEAR($A55))</f>
        <v/>
      </c>
      <c r="N55" s="22" t="str">
        <f aca="false">IF($A55="","",ROUNDUP(MONTH($A55)/3,0))</f>
        <v/>
      </c>
    </row>
    <row r="56" customFormat="false" ht="15" hidden="false" customHeight="false" outlineLevel="0" collapsed="false">
      <c r="A56" s="18"/>
      <c r="B56" s="19"/>
      <c r="C56" s="19"/>
      <c r="D56" s="19"/>
      <c r="E56" s="14"/>
      <c r="F56" s="20"/>
      <c r="G56" s="21" t="str">
        <f aca="false">IF($E56="","",ROUND($E56*Ajustes!$B$4,2))</f>
        <v/>
      </c>
      <c r="H56" s="21" t="str">
        <f aca="false">IF($E56="","",ROUND($E56*N($F56),2))</f>
        <v/>
      </c>
      <c r="I56" s="21" t="str">
        <f aca="false">IF($E56="","",$E56+$G56-$H56)</f>
        <v/>
      </c>
      <c r="J56" s="21" t="str">
        <f aca="false">IF($E56="","",IF(Ajustes!$B$6="Sí",MAX(0,ROUND($E56*Ajustes!$B$5-$H56,2)),0))</f>
        <v/>
      </c>
      <c r="K56" s="21" t="str">
        <f aca="false">IF($E56="","",$G56+$J56)</f>
        <v/>
      </c>
      <c r="L56" s="21" t="str">
        <f aca="false">IF($E56="","",$I56-$K56)</f>
        <v/>
      </c>
      <c r="M56" s="22" t="str">
        <f aca="false">IF($A56="","",YEAR($A56))</f>
        <v/>
      </c>
      <c r="N56" s="22" t="str">
        <f aca="false">IF($A56="","",ROUNDUP(MONTH($A56)/3,0))</f>
        <v/>
      </c>
    </row>
    <row r="57" customFormat="false" ht="15" hidden="false" customHeight="false" outlineLevel="0" collapsed="false">
      <c r="A57" s="18"/>
      <c r="B57" s="19"/>
      <c r="C57" s="19"/>
      <c r="D57" s="19"/>
      <c r="E57" s="14"/>
      <c r="F57" s="20"/>
      <c r="G57" s="21" t="str">
        <f aca="false">IF($E57="","",ROUND($E57*Ajustes!$B$4,2))</f>
        <v/>
      </c>
      <c r="H57" s="21" t="str">
        <f aca="false">IF($E57="","",ROUND($E57*N($F57),2))</f>
        <v/>
      </c>
      <c r="I57" s="21" t="str">
        <f aca="false">IF($E57="","",$E57+$G57-$H57)</f>
        <v/>
      </c>
      <c r="J57" s="21" t="str">
        <f aca="false">IF($E57="","",IF(Ajustes!$B$6="Sí",MAX(0,ROUND($E57*Ajustes!$B$5-$H57,2)),0))</f>
        <v/>
      </c>
      <c r="K57" s="21" t="str">
        <f aca="false">IF($E57="","",$G57+$J57)</f>
        <v/>
      </c>
      <c r="L57" s="21" t="str">
        <f aca="false">IF($E57="","",$I57-$K57)</f>
        <v/>
      </c>
      <c r="M57" s="22" t="str">
        <f aca="false">IF($A57="","",YEAR($A57))</f>
        <v/>
      </c>
      <c r="N57" s="22" t="str">
        <f aca="false">IF($A57="","",ROUNDUP(MONTH($A57)/3,0))</f>
        <v/>
      </c>
    </row>
    <row r="58" customFormat="false" ht="15" hidden="false" customHeight="false" outlineLevel="0" collapsed="false">
      <c r="A58" s="18"/>
      <c r="B58" s="19"/>
      <c r="C58" s="19"/>
      <c r="D58" s="19"/>
      <c r="E58" s="14"/>
      <c r="F58" s="20"/>
      <c r="G58" s="21" t="str">
        <f aca="false">IF($E58="","",ROUND($E58*Ajustes!$B$4,2))</f>
        <v/>
      </c>
      <c r="H58" s="21" t="str">
        <f aca="false">IF($E58="","",ROUND($E58*N($F58),2))</f>
        <v/>
      </c>
      <c r="I58" s="21" t="str">
        <f aca="false">IF($E58="","",$E58+$G58-$H58)</f>
        <v/>
      </c>
      <c r="J58" s="21" t="str">
        <f aca="false">IF($E58="","",IF(Ajustes!$B$6="Sí",MAX(0,ROUND($E58*Ajustes!$B$5-$H58,2)),0))</f>
        <v/>
      </c>
      <c r="K58" s="21" t="str">
        <f aca="false">IF($E58="","",$G58+$J58)</f>
        <v/>
      </c>
      <c r="L58" s="21" t="str">
        <f aca="false">IF($E58="","",$I58-$K58)</f>
        <v/>
      </c>
      <c r="M58" s="22" t="str">
        <f aca="false">IF($A58="","",YEAR($A58))</f>
        <v/>
      </c>
      <c r="N58" s="22" t="str">
        <f aca="false">IF($A58="","",ROUNDUP(MONTH($A58)/3,0))</f>
        <v/>
      </c>
    </row>
    <row r="59" customFormat="false" ht="15" hidden="false" customHeight="false" outlineLevel="0" collapsed="false">
      <c r="A59" s="18"/>
      <c r="B59" s="19"/>
      <c r="C59" s="19"/>
      <c r="D59" s="19"/>
      <c r="E59" s="14"/>
      <c r="F59" s="20"/>
      <c r="G59" s="21" t="str">
        <f aca="false">IF($E59="","",ROUND($E59*Ajustes!$B$4,2))</f>
        <v/>
      </c>
      <c r="H59" s="21" t="str">
        <f aca="false">IF($E59="","",ROUND($E59*N($F59),2))</f>
        <v/>
      </c>
      <c r="I59" s="21" t="str">
        <f aca="false">IF($E59="","",$E59+$G59-$H59)</f>
        <v/>
      </c>
      <c r="J59" s="21" t="str">
        <f aca="false">IF($E59="","",IF(Ajustes!$B$6="Sí",MAX(0,ROUND($E59*Ajustes!$B$5-$H59,2)),0))</f>
        <v/>
      </c>
      <c r="K59" s="21" t="str">
        <f aca="false">IF($E59="","",$G59+$J59)</f>
        <v/>
      </c>
      <c r="L59" s="21" t="str">
        <f aca="false">IF($E59="","",$I59-$K59)</f>
        <v/>
      </c>
      <c r="M59" s="22" t="str">
        <f aca="false">IF($A59="","",YEAR($A59))</f>
        <v/>
      </c>
      <c r="N59" s="22" t="str">
        <f aca="false">IF($A59="","",ROUNDUP(MONTH($A59)/3,0))</f>
        <v/>
      </c>
    </row>
    <row r="60" customFormat="false" ht="15" hidden="false" customHeight="false" outlineLevel="0" collapsed="false">
      <c r="A60" s="18"/>
      <c r="B60" s="19"/>
      <c r="C60" s="19"/>
      <c r="D60" s="19"/>
      <c r="E60" s="14"/>
      <c r="F60" s="20"/>
      <c r="G60" s="21" t="str">
        <f aca="false">IF($E60="","",ROUND($E60*Ajustes!$B$4,2))</f>
        <v/>
      </c>
      <c r="H60" s="21" t="str">
        <f aca="false">IF($E60="","",ROUND($E60*N($F60),2))</f>
        <v/>
      </c>
      <c r="I60" s="21" t="str">
        <f aca="false">IF($E60="","",$E60+$G60-$H60)</f>
        <v/>
      </c>
      <c r="J60" s="21" t="str">
        <f aca="false">IF($E60="","",IF(Ajustes!$B$6="Sí",MAX(0,ROUND($E60*Ajustes!$B$5-$H60,2)),0))</f>
        <v/>
      </c>
      <c r="K60" s="21" t="str">
        <f aca="false">IF($E60="","",$G60+$J60)</f>
        <v/>
      </c>
      <c r="L60" s="21" t="str">
        <f aca="false">IF($E60="","",$I60-$K60)</f>
        <v/>
      </c>
      <c r="M60" s="22" t="str">
        <f aca="false">IF($A60="","",YEAR($A60))</f>
        <v/>
      </c>
      <c r="N60" s="22" t="str">
        <f aca="false">IF($A60="","",ROUNDUP(MONTH($A60)/3,0))</f>
        <v/>
      </c>
    </row>
    <row r="61" customFormat="false" ht="15" hidden="false" customHeight="false" outlineLevel="0" collapsed="false">
      <c r="A61" s="18"/>
      <c r="B61" s="19"/>
      <c r="C61" s="19"/>
      <c r="D61" s="19"/>
      <c r="E61" s="14"/>
      <c r="F61" s="20"/>
      <c r="G61" s="21" t="str">
        <f aca="false">IF($E61="","",ROUND($E61*Ajustes!$B$4,2))</f>
        <v/>
      </c>
      <c r="H61" s="21" t="str">
        <f aca="false">IF($E61="","",ROUND($E61*N($F61),2))</f>
        <v/>
      </c>
      <c r="I61" s="21" t="str">
        <f aca="false">IF($E61="","",$E61+$G61-$H61)</f>
        <v/>
      </c>
      <c r="J61" s="21" t="str">
        <f aca="false">IF($E61="","",IF(Ajustes!$B$6="Sí",MAX(0,ROUND($E61*Ajustes!$B$5-$H61,2)),0))</f>
        <v/>
      </c>
      <c r="K61" s="21" t="str">
        <f aca="false">IF($E61="","",$G61+$J61)</f>
        <v/>
      </c>
      <c r="L61" s="21" t="str">
        <f aca="false">IF($E61="","",$I61-$K61)</f>
        <v/>
      </c>
      <c r="M61" s="22" t="str">
        <f aca="false">IF($A61="","",YEAR($A61))</f>
        <v/>
      </c>
      <c r="N61" s="22" t="str">
        <f aca="false">IF($A61="","",ROUNDUP(MONTH($A61)/3,0))</f>
        <v/>
      </c>
    </row>
    <row r="62" customFormat="false" ht="15" hidden="false" customHeight="false" outlineLevel="0" collapsed="false">
      <c r="A62" s="18"/>
      <c r="B62" s="19"/>
      <c r="C62" s="19"/>
      <c r="D62" s="19"/>
      <c r="E62" s="14"/>
      <c r="F62" s="20"/>
      <c r="G62" s="21" t="str">
        <f aca="false">IF($E62="","",ROUND($E62*Ajustes!$B$4,2))</f>
        <v/>
      </c>
      <c r="H62" s="21" t="str">
        <f aca="false">IF($E62="","",ROUND($E62*N($F62),2))</f>
        <v/>
      </c>
      <c r="I62" s="21" t="str">
        <f aca="false">IF($E62="","",$E62+$G62-$H62)</f>
        <v/>
      </c>
      <c r="J62" s="21" t="str">
        <f aca="false">IF($E62="","",IF(Ajustes!$B$6="Sí",MAX(0,ROUND($E62*Ajustes!$B$5-$H62,2)),0))</f>
        <v/>
      </c>
      <c r="K62" s="21" t="str">
        <f aca="false">IF($E62="","",$G62+$J62)</f>
        <v/>
      </c>
      <c r="L62" s="21" t="str">
        <f aca="false">IF($E62="","",$I62-$K62)</f>
        <v/>
      </c>
      <c r="M62" s="22" t="str">
        <f aca="false">IF($A62="","",YEAR($A62))</f>
        <v/>
      </c>
      <c r="N62" s="22" t="str">
        <f aca="false">IF($A62="","",ROUNDUP(MONTH($A62)/3,0))</f>
        <v/>
      </c>
    </row>
    <row r="63" customFormat="false" ht="15" hidden="false" customHeight="false" outlineLevel="0" collapsed="false">
      <c r="A63" s="18"/>
      <c r="B63" s="19"/>
      <c r="C63" s="19"/>
      <c r="D63" s="19"/>
      <c r="E63" s="14"/>
      <c r="F63" s="20"/>
      <c r="G63" s="21" t="str">
        <f aca="false">IF($E63="","",ROUND($E63*Ajustes!$B$4,2))</f>
        <v/>
      </c>
      <c r="H63" s="21" t="str">
        <f aca="false">IF($E63="","",ROUND($E63*N($F63),2))</f>
        <v/>
      </c>
      <c r="I63" s="21" t="str">
        <f aca="false">IF($E63="","",$E63+$G63-$H63)</f>
        <v/>
      </c>
      <c r="J63" s="21" t="str">
        <f aca="false">IF($E63="","",IF(Ajustes!$B$6="Sí",MAX(0,ROUND($E63*Ajustes!$B$5-$H63,2)),0))</f>
        <v/>
      </c>
      <c r="K63" s="21" t="str">
        <f aca="false">IF($E63="","",$G63+$J63)</f>
        <v/>
      </c>
      <c r="L63" s="21" t="str">
        <f aca="false">IF($E63="","",$I63-$K63)</f>
        <v/>
      </c>
      <c r="M63" s="22" t="str">
        <f aca="false">IF($A63="","",YEAR($A63))</f>
        <v/>
      </c>
      <c r="N63" s="22" t="str">
        <f aca="false">IF($A63="","",ROUNDUP(MONTH($A63)/3,0))</f>
        <v/>
      </c>
    </row>
    <row r="64" customFormat="false" ht="15" hidden="false" customHeight="false" outlineLevel="0" collapsed="false">
      <c r="A64" s="18"/>
      <c r="B64" s="19"/>
      <c r="C64" s="19"/>
      <c r="D64" s="19"/>
      <c r="E64" s="14"/>
      <c r="F64" s="20"/>
      <c r="G64" s="21" t="str">
        <f aca="false">IF($E64="","",ROUND($E64*Ajustes!$B$4,2))</f>
        <v/>
      </c>
      <c r="H64" s="21" t="str">
        <f aca="false">IF($E64="","",ROUND($E64*N($F64),2))</f>
        <v/>
      </c>
      <c r="I64" s="21" t="str">
        <f aca="false">IF($E64="","",$E64+$G64-$H64)</f>
        <v/>
      </c>
      <c r="J64" s="21" t="str">
        <f aca="false">IF($E64="","",IF(Ajustes!$B$6="Sí",MAX(0,ROUND($E64*Ajustes!$B$5-$H64,2)),0))</f>
        <v/>
      </c>
      <c r="K64" s="21" t="str">
        <f aca="false">IF($E64="","",$G64+$J64)</f>
        <v/>
      </c>
      <c r="L64" s="21" t="str">
        <f aca="false">IF($E64="","",$I64-$K64)</f>
        <v/>
      </c>
      <c r="M64" s="22" t="str">
        <f aca="false">IF($A64="","",YEAR($A64))</f>
        <v/>
      </c>
      <c r="N64" s="22" t="str">
        <f aca="false">IF($A64="","",ROUNDUP(MONTH($A64)/3,0))</f>
        <v/>
      </c>
    </row>
    <row r="65" customFormat="false" ht="15" hidden="false" customHeight="false" outlineLevel="0" collapsed="false">
      <c r="A65" s="18"/>
      <c r="B65" s="19"/>
      <c r="C65" s="19"/>
      <c r="D65" s="19"/>
      <c r="E65" s="14"/>
      <c r="F65" s="20"/>
      <c r="G65" s="21" t="str">
        <f aca="false">IF($E65="","",ROUND($E65*Ajustes!$B$4,2))</f>
        <v/>
      </c>
      <c r="H65" s="21" t="str">
        <f aca="false">IF($E65="","",ROUND($E65*N($F65),2))</f>
        <v/>
      </c>
      <c r="I65" s="21" t="str">
        <f aca="false">IF($E65="","",$E65+$G65-$H65)</f>
        <v/>
      </c>
      <c r="J65" s="21" t="str">
        <f aca="false">IF($E65="","",IF(Ajustes!$B$6="Sí",MAX(0,ROUND($E65*Ajustes!$B$5-$H65,2)),0))</f>
        <v/>
      </c>
      <c r="K65" s="21" t="str">
        <f aca="false">IF($E65="","",$G65+$J65)</f>
        <v/>
      </c>
      <c r="L65" s="21" t="str">
        <f aca="false">IF($E65="","",$I65-$K65)</f>
        <v/>
      </c>
      <c r="M65" s="22" t="str">
        <f aca="false">IF($A65="","",YEAR($A65))</f>
        <v/>
      </c>
      <c r="N65" s="22" t="str">
        <f aca="false">IF($A65="","",ROUNDUP(MONTH($A65)/3,0))</f>
        <v/>
      </c>
    </row>
    <row r="66" customFormat="false" ht="15" hidden="false" customHeight="false" outlineLevel="0" collapsed="false">
      <c r="A66" s="18"/>
      <c r="B66" s="19"/>
      <c r="C66" s="19"/>
      <c r="D66" s="19"/>
      <c r="E66" s="14"/>
      <c r="F66" s="20"/>
      <c r="G66" s="21" t="str">
        <f aca="false">IF($E66="","",ROUND($E66*Ajustes!$B$4,2))</f>
        <v/>
      </c>
      <c r="H66" s="21" t="str">
        <f aca="false">IF($E66="","",ROUND($E66*N($F66),2))</f>
        <v/>
      </c>
      <c r="I66" s="21" t="str">
        <f aca="false">IF($E66="","",$E66+$G66-$H66)</f>
        <v/>
      </c>
      <c r="J66" s="21" t="str">
        <f aca="false">IF($E66="","",IF(Ajustes!$B$6="Sí",MAX(0,ROUND($E66*Ajustes!$B$5-$H66,2)),0))</f>
        <v/>
      </c>
      <c r="K66" s="21" t="str">
        <f aca="false">IF($E66="","",$G66+$J66)</f>
        <v/>
      </c>
      <c r="L66" s="21" t="str">
        <f aca="false">IF($E66="","",$I66-$K66)</f>
        <v/>
      </c>
      <c r="M66" s="22" t="str">
        <f aca="false">IF($A66="","",YEAR($A66))</f>
        <v/>
      </c>
      <c r="N66" s="22" t="str">
        <f aca="false">IF($A66="","",ROUNDUP(MONTH($A66)/3,0))</f>
        <v/>
      </c>
    </row>
    <row r="67" customFormat="false" ht="15" hidden="false" customHeight="false" outlineLevel="0" collapsed="false">
      <c r="A67" s="18"/>
      <c r="B67" s="19"/>
      <c r="C67" s="19"/>
      <c r="D67" s="19"/>
      <c r="E67" s="14"/>
      <c r="F67" s="20"/>
      <c r="G67" s="21" t="str">
        <f aca="false">IF($E67="","",ROUND($E67*Ajustes!$B$4,2))</f>
        <v/>
      </c>
      <c r="H67" s="21" t="str">
        <f aca="false">IF($E67="","",ROUND($E67*N($F67),2))</f>
        <v/>
      </c>
      <c r="I67" s="21" t="str">
        <f aca="false">IF($E67="","",$E67+$G67-$H67)</f>
        <v/>
      </c>
      <c r="J67" s="21" t="str">
        <f aca="false">IF($E67="","",IF(Ajustes!$B$6="Sí",MAX(0,ROUND($E67*Ajustes!$B$5-$H67,2)),0))</f>
        <v/>
      </c>
      <c r="K67" s="21" t="str">
        <f aca="false">IF($E67="","",$G67+$J67)</f>
        <v/>
      </c>
      <c r="L67" s="21" t="str">
        <f aca="false">IF($E67="","",$I67-$K67)</f>
        <v/>
      </c>
      <c r="M67" s="22" t="str">
        <f aca="false">IF($A67="","",YEAR($A67))</f>
        <v/>
      </c>
      <c r="N67" s="22" t="str">
        <f aca="false">IF($A67="","",ROUNDUP(MONTH($A67)/3,0))</f>
        <v/>
      </c>
    </row>
    <row r="68" customFormat="false" ht="15" hidden="false" customHeight="false" outlineLevel="0" collapsed="false">
      <c r="A68" s="18"/>
      <c r="B68" s="19"/>
      <c r="C68" s="19"/>
      <c r="D68" s="19"/>
      <c r="E68" s="14"/>
      <c r="F68" s="20"/>
      <c r="G68" s="21" t="str">
        <f aca="false">IF($E68="","",ROUND($E68*Ajustes!$B$4,2))</f>
        <v/>
      </c>
      <c r="H68" s="21" t="str">
        <f aca="false">IF($E68="","",ROUND($E68*N($F68),2))</f>
        <v/>
      </c>
      <c r="I68" s="21" t="str">
        <f aca="false">IF($E68="","",$E68+$G68-$H68)</f>
        <v/>
      </c>
      <c r="J68" s="21" t="str">
        <f aca="false">IF($E68="","",IF(Ajustes!$B$6="Sí",MAX(0,ROUND($E68*Ajustes!$B$5-$H68,2)),0))</f>
        <v/>
      </c>
      <c r="K68" s="21" t="str">
        <f aca="false">IF($E68="","",$G68+$J68)</f>
        <v/>
      </c>
      <c r="L68" s="21" t="str">
        <f aca="false">IF($E68="","",$I68-$K68)</f>
        <v/>
      </c>
      <c r="M68" s="22" t="str">
        <f aca="false">IF($A68="","",YEAR($A68))</f>
        <v/>
      </c>
      <c r="N68" s="22" t="str">
        <f aca="false">IF($A68="","",ROUNDUP(MONTH($A68)/3,0))</f>
        <v/>
      </c>
    </row>
    <row r="69" customFormat="false" ht="15" hidden="false" customHeight="false" outlineLevel="0" collapsed="false">
      <c r="A69" s="18"/>
      <c r="B69" s="19"/>
      <c r="C69" s="19"/>
      <c r="D69" s="19"/>
      <c r="E69" s="14"/>
      <c r="F69" s="20"/>
      <c r="G69" s="21" t="str">
        <f aca="false">IF($E69="","",ROUND($E69*Ajustes!$B$4,2))</f>
        <v/>
      </c>
      <c r="H69" s="21" t="str">
        <f aca="false">IF($E69="","",ROUND($E69*N($F69),2))</f>
        <v/>
      </c>
      <c r="I69" s="21" t="str">
        <f aca="false">IF($E69="","",$E69+$G69-$H69)</f>
        <v/>
      </c>
      <c r="J69" s="21" t="str">
        <f aca="false">IF($E69="","",IF(Ajustes!$B$6="Sí",MAX(0,ROUND($E69*Ajustes!$B$5-$H69,2)),0))</f>
        <v/>
      </c>
      <c r="K69" s="21" t="str">
        <f aca="false">IF($E69="","",$G69+$J69)</f>
        <v/>
      </c>
      <c r="L69" s="21" t="str">
        <f aca="false">IF($E69="","",$I69-$K69)</f>
        <v/>
      </c>
      <c r="M69" s="22" t="str">
        <f aca="false">IF($A69="","",YEAR($A69))</f>
        <v/>
      </c>
      <c r="N69" s="22" t="str">
        <f aca="false">IF($A69="","",ROUNDUP(MONTH($A69)/3,0))</f>
        <v/>
      </c>
    </row>
    <row r="70" customFormat="false" ht="15" hidden="false" customHeight="false" outlineLevel="0" collapsed="false">
      <c r="A70" s="18"/>
      <c r="B70" s="19"/>
      <c r="C70" s="19"/>
      <c r="D70" s="19"/>
      <c r="E70" s="14"/>
      <c r="F70" s="20"/>
      <c r="G70" s="21" t="str">
        <f aca="false">IF($E70="","",ROUND($E70*Ajustes!$B$4,2))</f>
        <v/>
      </c>
      <c r="H70" s="21" t="str">
        <f aca="false">IF($E70="","",ROUND($E70*N($F70),2))</f>
        <v/>
      </c>
      <c r="I70" s="21" t="str">
        <f aca="false">IF($E70="","",$E70+$G70-$H70)</f>
        <v/>
      </c>
      <c r="J70" s="21" t="str">
        <f aca="false">IF($E70="","",IF(Ajustes!$B$6="Sí",MAX(0,ROUND($E70*Ajustes!$B$5-$H70,2)),0))</f>
        <v/>
      </c>
      <c r="K70" s="21" t="str">
        <f aca="false">IF($E70="","",$G70+$J70)</f>
        <v/>
      </c>
      <c r="L70" s="21" t="str">
        <f aca="false">IF($E70="","",$I70-$K70)</f>
        <v/>
      </c>
      <c r="M70" s="22" t="str">
        <f aca="false">IF($A70="","",YEAR($A70))</f>
        <v/>
      </c>
      <c r="N70" s="22" t="str">
        <f aca="false">IF($A70="","",ROUNDUP(MONTH($A70)/3,0))</f>
        <v/>
      </c>
    </row>
    <row r="71" customFormat="false" ht="15" hidden="false" customHeight="false" outlineLevel="0" collapsed="false">
      <c r="A71" s="18"/>
      <c r="B71" s="19"/>
      <c r="C71" s="19"/>
      <c r="D71" s="19"/>
      <c r="E71" s="14"/>
      <c r="F71" s="20"/>
      <c r="G71" s="21" t="str">
        <f aca="false">IF($E71="","",ROUND($E71*Ajustes!$B$4,2))</f>
        <v/>
      </c>
      <c r="H71" s="21" t="str">
        <f aca="false">IF($E71="","",ROUND($E71*N($F71),2))</f>
        <v/>
      </c>
      <c r="I71" s="21" t="str">
        <f aca="false">IF($E71="","",$E71+$G71-$H71)</f>
        <v/>
      </c>
      <c r="J71" s="21" t="str">
        <f aca="false">IF($E71="","",IF(Ajustes!$B$6="Sí",MAX(0,ROUND($E71*Ajustes!$B$5-$H71,2)),0))</f>
        <v/>
      </c>
      <c r="K71" s="21" t="str">
        <f aca="false">IF($E71="","",$G71+$J71)</f>
        <v/>
      </c>
      <c r="L71" s="21" t="str">
        <f aca="false">IF($E71="","",$I71-$K71)</f>
        <v/>
      </c>
      <c r="M71" s="22" t="str">
        <f aca="false">IF($A71="","",YEAR($A71))</f>
        <v/>
      </c>
      <c r="N71" s="22" t="str">
        <f aca="false">IF($A71="","",ROUNDUP(MONTH($A71)/3,0))</f>
        <v/>
      </c>
    </row>
    <row r="72" customFormat="false" ht="15" hidden="false" customHeight="false" outlineLevel="0" collapsed="false">
      <c r="A72" s="18"/>
      <c r="B72" s="19"/>
      <c r="C72" s="19"/>
      <c r="D72" s="19"/>
      <c r="E72" s="14"/>
      <c r="F72" s="20"/>
      <c r="G72" s="21" t="str">
        <f aca="false">IF($E72="","",ROUND($E72*Ajustes!$B$4,2))</f>
        <v/>
      </c>
      <c r="H72" s="21" t="str">
        <f aca="false">IF($E72="","",ROUND($E72*N($F72),2))</f>
        <v/>
      </c>
      <c r="I72" s="21" t="str">
        <f aca="false">IF($E72="","",$E72+$G72-$H72)</f>
        <v/>
      </c>
      <c r="J72" s="21" t="str">
        <f aca="false">IF($E72="","",IF(Ajustes!$B$6="Sí",MAX(0,ROUND($E72*Ajustes!$B$5-$H72,2)),0))</f>
        <v/>
      </c>
      <c r="K72" s="21" t="str">
        <f aca="false">IF($E72="","",$G72+$J72)</f>
        <v/>
      </c>
      <c r="L72" s="21" t="str">
        <f aca="false">IF($E72="","",$I72-$K72)</f>
        <v/>
      </c>
      <c r="M72" s="22" t="str">
        <f aca="false">IF($A72="","",YEAR($A72))</f>
        <v/>
      </c>
      <c r="N72" s="22" t="str">
        <f aca="false">IF($A72="","",ROUNDUP(MONTH($A72)/3,0))</f>
        <v/>
      </c>
    </row>
    <row r="73" customFormat="false" ht="15" hidden="false" customHeight="false" outlineLevel="0" collapsed="false">
      <c r="A73" s="18"/>
      <c r="B73" s="19"/>
      <c r="C73" s="19"/>
      <c r="D73" s="19"/>
      <c r="E73" s="14"/>
      <c r="F73" s="20"/>
      <c r="G73" s="21" t="str">
        <f aca="false">IF($E73="","",ROUND($E73*Ajustes!$B$4,2))</f>
        <v/>
      </c>
      <c r="H73" s="21" t="str">
        <f aca="false">IF($E73="","",ROUND($E73*N($F73),2))</f>
        <v/>
      </c>
      <c r="I73" s="21" t="str">
        <f aca="false">IF($E73="","",$E73+$G73-$H73)</f>
        <v/>
      </c>
      <c r="J73" s="21" t="str">
        <f aca="false">IF($E73="","",IF(Ajustes!$B$6="Sí",MAX(0,ROUND($E73*Ajustes!$B$5-$H73,2)),0))</f>
        <v/>
      </c>
      <c r="K73" s="21" t="str">
        <f aca="false">IF($E73="","",$G73+$J73)</f>
        <v/>
      </c>
      <c r="L73" s="21" t="str">
        <f aca="false">IF($E73="","",$I73-$K73)</f>
        <v/>
      </c>
      <c r="M73" s="22" t="str">
        <f aca="false">IF($A73="","",YEAR($A73))</f>
        <v/>
      </c>
      <c r="N73" s="22" t="str">
        <f aca="false">IF($A73="","",ROUNDUP(MONTH($A73)/3,0))</f>
        <v/>
      </c>
    </row>
    <row r="74" customFormat="false" ht="15" hidden="false" customHeight="false" outlineLevel="0" collapsed="false">
      <c r="A74" s="18"/>
      <c r="B74" s="19"/>
      <c r="C74" s="19"/>
      <c r="D74" s="19"/>
      <c r="E74" s="14"/>
      <c r="F74" s="20"/>
      <c r="G74" s="21" t="str">
        <f aca="false">IF($E74="","",ROUND($E74*Ajustes!$B$4,2))</f>
        <v/>
      </c>
      <c r="H74" s="21" t="str">
        <f aca="false">IF($E74="","",ROUND($E74*N($F74),2))</f>
        <v/>
      </c>
      <c r="I74" s="21" t="str">
        <f aca="false">IF($E74="","",$E74+$G74-$H74)</f>
        <v/>
      </c>
      <c r="J74" s="21" t="str">
        <f aca="false">IF($E74="","",IF(Ajustes!$B$6="Sí",MAX(0,ROUND($E74*Ajustes!$B$5-$H74,2)),0))</f>
        <v/>
      </c>
      <c r="K74" s="21" t="str">
        <f aca="false">IF($E74="","",$G74+$J74)</f>
        <v/>
      </c>
      <c r="L74" s="21" t="str">
        <f aca="false">IF($E74="","",$I74-$K74)</f>
        <v/>
      </c>
      <c r="M74" s="22" t="str">
        <f aca="false">IF($A74="","",YEAR($A74))</f>
        <v/>
      </c>
      <c r="N74" s="22" t="str">
        <f aca="false">IF($A74="","",ROUNDUP(MONTH($A74)/3,0))</f>
        <v/>
      </c>
    </row>
    <row r="75" customFormat="false" ht="15" hidden="false" customHeight="false" outlineLevel="0" collapsed="false">
      <c r="A75" s="18"/>
      <c r="B75" s="19"/>
      <c r="C75" s="19"/>
      <c r="D75" s="19"/>
      <c r="E75" s="14"/>
      <c r="F75" s="20"/>
      <c r="G75" s="21" t="str">
        <f aca="false">IF($E75="","",ROUND($E75*Ajustes!$B$4,2))</f>
        <v/>
      </c>
      <c r="H75" s="21" t="str">
        <f aca="false">IF($E75="","",ROUND($E75*N($F75),2))</f>
        <v/>
      </c>
      <c r="I75" s="21" t="str">
        <f aca="false">IF($E75="","",$E75+$G75-$H75)</f>
        <v/>
      </c>
      <c r="J75" s="21" t="str">
        <f aca="false">IF($E75="","",IF(Ajustes!$B$6="Sí",MAX(0,ROUND($E75*Ajustes!$B$5-$H75,2)),0))</f>
        <v/>
      </c>
      <c r="K75" s="21" t="str">
        <f aca="false">IF($E75="","",$G75+$J75)</f>
        <v/>
      </c>
      <c r="L75" s="21" t="str">
        <f aca="false">IF($E75="","",$I75-$K75)</f>
        <v/>
      </c>
      <c r="M75" s="22" t="str">
        <f aca="false">IF($A75="","",YEAR($A75))</f>
        <v/>
      </c>
      <c r="N75" s="22" t="str">
        <f aca="false">IF($A75="","",ROUNDUP(MONTH($A75)/3,0))</f>
        <v/>
      </c>
    </row>
    <row r="76" customFormat="false" ht="15" hidden="false" customHeight="false" outlineLevel="0" collapsed="false">
      <c r="A76" s="18"/>
      <c r="B76" s="19"/>
      <c r="C76" s="19"/>
      <c r="D76" s="19"/>
      <c r="E76" s="14"/>
      <c r="F76" s="20"/>
      <c r="G76" s="21" t="str">
        <f aca="false">IF($E76="","",ROUND($E76*Ajustes!$B$4,2))</f>
        <v/>
      </c>
      <c r="H76" s="21" t="str">
        <f aca="false">IF($E76="","",ROUND($E76*N($F76),2))</f>
        <v/>
      </c>
      <c r="I76" s="21" t="str">
        <f aca="false">IF($E76="","",$E76+$G76-$H76)</f>
        <v/>
      </c>
      <c r="J76" s="21" t="str">
        <f aca="false">IF($E76="","",IF(Ajustes!$B$6="Sí",MAX(0,ROUND($E76*Ajustes!$B$5-$H76,2)),0))</f>
        <v/>
      </c>
      <c r="K76" s="21" t="str">
        <f aca="false">IF($E76="","",$G76+$J76)</f>
        <v/>
      </c>
      <c r="L76" s="21" t="str">
        <f aca="false">IF($E76="","",$I76-$K76)</f>
        <v/>
      </c>
      <c r="M76" s="22" t="str">
        <f aca="false">IF($A76="","",YEAR($A76))</f>
        <v/>
      </c>
      <c r="N76" s="22" t="str">
        <f aca="false">IF($A76="","",ROUNDUP(MONTH($A76)/3,0))</f>
        <v/>
      </c>
    </row>
    <row r="77" customFormat="false" ht="15" hidden="false" customHeight="false" outlineLevel="0" collapsed="false">
      <c r="A77" s="18"/>
      <c r="B77" s="19"/>
      <c r="C77" s="19"/>
      <c r="D77" s="19"/>
      <c r="E77" s="14"/>
      <c r="F77" s="20"/>
      <c r="G77" s="21" t="str">
        <f aca="false">IF($E77="","",ROUND($E77*Ajustes!$B$4,2))</f>
        <v/>
      </c>
      <c r="H77" s="21" t="str">
        <f aca="false">IF($E77="","",ROUND($E77*N($F77),2))</f>
        <v/>
      </c>
      <c r="I77" s="21" t="str">
        <f aca="false">IF($E77="","",$E77+$G77-$H77)</f>
        <v/>
      </c>
      <c r="J77" s="21" t="str">
        <f aca="false">IF($E77="","",IF(Ajustes!$B$6="Sí",MAX(0,ROUND($E77*Ajustes!$B$5-$H77,2)),0))</f>
        <v/>
      </c>
      <c r="K77" s="21" t="str">
        <f aca="false">IF($E77="","",$G77+$J77)</f>
        <v/>
      </c>
      <c r="L77" s="21" t="str">
        <f aca="false">IF($E77="","",$I77-$K77)</f>
        <v/>
      </c>
      <c r="M77" s="22" t="str">
        <f aca="false">IF($A77="","",YEAR($A77))</f>
        <v/>
      </c>
      <c r="N77" s="22" t="str">
        <f aca="false">IF($A77="","",ROUNDUP(MONTH($A77)/3,0))</f>
        <v/>
      </c>
    </row>
    <row r="78" customFormat="false" ht="15" hidden="false" customHeight="false" outlineLevel="0" collapsed="false">
      <c r="A78" s="18"/>
      <c r="B78" s="19"/>
      <c r="C78" s="19"/>
      <c r="D78" s="19"/>
      <c r="E78" s="14"/>
      <c r="F78" s="20"/>
      <c r="G78" s="21" t="str">
        <f aca="false">IF($E78="","",ROUND($E78*Ajustes!$B$4,2))</f>
        <v/>
      </c>
      <c r="H78" s="21" t="str">
        <f aca="false">IF($E78="","",ROUND($E78*N($F78),2))</f>
        <v/>
      </c>
      <c r="I78" s="21" t="str">
        <f aca="false">IF($E78="","",$E78+$G78-$H78)</f>
        <v/>
      </c>
      <c r="J78" s="21" t="str">
        <f aca="false">IF($E78="","",IF(Ajustes!$B$6="Sí",MAX(0,ROUND($E78*Ajustes!$B$5-$H78,2)),0))</f>
        <v/>
      </c>
      <c r="K78" s="21" t="str">
        <f aca="false">IF($E78="","",$G78+$J78)</f>
        <v/>
      </c>
      <c r="L78" s="21" t="str">
        <f aca="false">IF($E78="","",$I78-$K78)</f>
        <v/>
      </c>
      <c r="M78" s="22" t="str">
        <f aca="false">IF($A78="","",YEAR($A78))</f>
        <v/>
      </c>
      <c r="N78" s="22" t="str">
        <f aca="false">IF($A78="","",ROUNDUP(MONTH($A78)/3,0))</f>
        <v/>
      </c>
    </row>
    <row r="79" customFormat="false" ht="15" hidden="false" customHeight="false" outlineLevel="0" collapsed="false">
      <c r="A79" s="18"/>
      <c r="B79" s="19"/>
      <c r="C79" s="19"/>
      <c r="D79" s="19"/>
      <c r="E79" s="14"/>
      <c r="F79" s="20"/>
      <c r="G79" s="21" t="str">
        <f aca="false">IF($E79="","",ROUND($E79*Ajustes!$B$4,2))</f>
        <v/>
      </c>
      <c r="H79" s="21" t="str">
        <f aca="false">IF($E79="","",ROUND($E79*N($F79),2))</f>
        <v/>
      </c>
      <c r="I79" s="21" t="str">
        <f aca="false">IF($E79="","",$E79+$G79-$H79)</f>
        <v/>
      </c>
      <c r="J79" s="21" t="str">
        <f aca="false">IF($E79="","",IF(Ajustes!$B$6="Sí",MAX(0,ROUND($E79*Ajustes!$B$5-$H79,2)),0))</f>
        <v/>
      </c>
      <c r="K79" s="21" t="str">
        <f aca="false">IF($E79="","",$G79+$J79)</f>
        <v/>
      </c>
      <c r="L79" s="21" t="str">
        <f aca="false">IF($E79="","",$I79-$K79)</f>
        <v/>
      </c>
      <c r="M79" s="22" t="str">
        <f aca="false">IF($A79="","",YEAR($A79))</f>
        <v/>
      </c>
      <c r="N79" s="22" t="str">
        <f aca="false">IF($A79="","",ROUNDUP(MONTH($A79)/3,0))</f>
        <v/>
      </c>
    </row>
    <row r="80" customFormat="false" ht="15" hidden="false" customHeight="false" outlineLevel="0" collapsed="false">
      <c r="A80" s="18"/>
      <c r="B80" s="19"/>
      <c r="C80" s="19"/>
      <c r="D80" s="19"/>
      <c r="E80" s="14"/>
      <c r="F80" s="20"/>
      <c r="G80" s="21" t="str">
        <f aca="false">IF($E80="","",ROUND($E80*Ajustes!$B$4,2))</f>
        <v/>
      </c>
      <c r="H80" s="21" t="str">
        <f aca="false">IF($E80="","",ROUND($E80*N($F80),2))</f>
        <v/>
      </c>
      <c r="I80" s="21" t="str">
        <f aca="false">IF($E80="","",$E80+$G80-$H80)</f>
        <v/>
      </c>
      <c r="J80" s="21" t="str">
        <f aca="false">IF($E80="","",IF(Ajustes!$B$6="Sí",MAX(0,ROUND($E80*Ajustes!$B$5-$H80,2)),0))</f>
        <v/>
      </c>
      <c r="K80" s="21" t="str">
        <f aca="false">IF($E80="","",$G80+$J80)</f>
        <v/>
      </c>
      <c r="L80" s="21" t="str">
        <f aca="false">IF($E80="","",$I80-$K80)</f>
        <v/>
      </c>
      <c r="M80" s="22" t="str">
        <f aca="false">IF($A80="","",YEAR($A80))</f>
        <v/>
      </c>
      <c r="N80" s="22" t="str">
        <f aca="false">IF($A80="","",ROUNDUP(MONTH($A80)/3,0))</f>
        <v/>
      </c>
    </row>
    <row r="81" customFormat="false" ht="15" hidden="false" customHeight="false" outlineLevel="0" collapsed="false">
      <c r="A81" s="18"/>
      <c r="B81" s="19"/>
      <c r="C81" s="19"/>
      <c r="D81" s="19"/>
      <c r="E81" s="14"/>
      <c r="F81" s="20"/>
      <c r="G81" s="21" t="str">
        <f aca="false">IF($E81="","",ROUND($E81*Ajustes!$B$4,2))</f>
        <v/>
      </c>
      <c r="H81" s="21" t="str">
        <f aca="false">IF($E81="","",ROUND($E81*N($F81),2))</f>
        <v/>
      </c>
      <c r="I81" s="21" t="str">
        <f aca="false">IF($E81="","",$E81+$G81-$H81)</f>
        <v/>
      </c>
      <c r="J81" s="21" t="str">
        <f aca="false">IF($E81="","",IF(Ajustes!$B$6="Sí",MAX(0,ROUND($E81*Ajustes!$B$5-$H81,2)),0))</f>
        <v/>
      </c>
      <c r="K81" s="21" t="str">
        <f aca="false">IF($E81="","",$G81+$J81)</f>
        <v/>
      </c>
      <c r="L81" s="21" t="str">
        <f aca="false">IF($E81="","",$I81-$K81)</f>
        <v/>
      </c>
      <c r="M81" s="22" t="str">
        <f aca="false">IF($A81="","",YEAR($A81))</f>
        <v/>
      </c>
      <c r="N81" s="22" t="str">
        <f aca="false">IF($A81="","",ROUNDUP(MONTH($A81)/3,0))</f>
        <v/>
      </c>
    </row>
    <row r="82" customFormat="false" ht="15" hidden="false" customHeight="false" outlineLevel="0" collapsed="false">
      <c r="A82" s="18"/>
      <c r="B82" s="19"/>
      <c r="C82" s="19"/>
      <c r="D82" s="19"/>
      <c r="E82" s="14"/>
      <c r="F82" s="20"/>
      <c r="G82" s="21" t="str">
        <f aca="false">IF($E82="","",ROUND($E82*Ajustes!$B$4,2))</f>
        <v/>
      </c>
      <c r="H82" s="21" t="str">
        <f aca="false">IF($E82="","",ROUND($E82*N($F82),2))</f>
        <v/>
      </c>
      <c r="I82" s="21" t="str">
        <f aca="false">IF($E82="","",$E82+$G82-$H82)</f>
        <v/>
      </c>
      <c r="J82" s="21" t="str">
        <f aca="false">IF($E82="","",IF(Ajustes!$B$6="Sí",MAX(0,ROUND($E82*Ajustes!$B$5-$H82,2)),0))</f>
        <v/>
      </c>
      <c r="K82" s="21" t="str">
        <f aca="false">IF($E82="","",$G82+$J82)</f>
        <v/>
      </c>
      <c r="L82" s="21" t="str">
        <f aca="false">IF($E82="","",$I82-$K82)</f>
        <v/>
      </c>
      <c r="M82" s="22" t="str">
        <f aca="false">IF($A82="","",YEAR($A82))</f>
        <v/>
      </c>
      <c r="N82" s="22" t="str">
        <f aca="false">IF($A82="","",ROUNDUP(MONTH($A82)/3,0))</f>
        <v/>
      </c>
    </row>
    <row r="83" customFormat="false" ht="15" hidden="false" customHeight="false" outlineLevel="0" collapsed="false">
      <c r="A83" s="18"/>
      <c r="B83" s="19"/>
      <c r="C83" s="19"/>
      <c r="D83" s="19"/>
      <c r="E83" s="14"/>
      <c r="F83" s="20"/>
      <c r="G83" s="21" t="str">
        <f aca="false">IF($E83="","",ROUND($E83*Ajustes!$B$4,2))</f>
        <v/>
      </c>
      <c r="H83" s="21" t="str">
        <f aca="false">IF($E83="","",ROUND($E83*N($F83),2))</f>
        <v/>
      </c>
      <c r="I83" s="21" t="str">
        <f aca="false">IF($E83="","",$E83+$G83-$H83)</f>
        <v/>
      </c>
      <c r="J83" s="21" t="str">
        <f aca="false">IF($E83="","",IF(Ajustes!$B$6="Sí",MAX(0,ROUND($E83*Ajustes!$B$5-$H83,2)),0))</f>
        <v/>
      </c>
      <c r="K83" s="21" t="str">
        <f aca="false">IF($E83="","",$G83+$J83)</f>
        <v/>
      </c>
      <c r="L83" s="21" t="str">
        <f aca="false">IF($E83="","",$I83-$K83)</f>
        <v/>
      </c>
      <c r="M83" s="22" t="str">
        <f aca="false">IF($A83="","",YEAR($A83))</f>
        <v/>
      </c>
      <c r="N83" s="22" t="str">
        <f aca="false">IF($A83="","",ROUNDUP(MONTH($A83)/3,0))</f>
        <v/>
      </c>
    </row>
    <row r="84" customFormat="false" ht="15" hidden="false" customHeight="false" outlineLevel="0" collapsed="false">
      <c r="A84" s="18"/>
      <c r="B84" s="19"/>
      <c r="C84" s="19"/>
      <c r="D84" s="19"/>
      <c r="E84" s="14"/>
      <c r="F84" s="20"/>
      <c r="G84" s="21" t="str">
        <f aca="false">IF($E84="","",ROUND($E84*Ajustes!$B$4,2))</f>
        <v/>
      </c>
      <c r="H84" s="21" t="str">
        <f aca="false">IF($E84="","",ROUND($E84*N($F84),2))</f>
        <v/>
      </c>
      <c r="I84" s="21" t="str">
        <f aca="false">IF($E84="","",$E84+$G84-$H84)</f>
        <v/>
      </c>
      <c r="J84" s="21" t="str">
        <f aca="false">IF($E84="","",IF(Ajustes!$B$6="Sí",MAX(0,ROUND($E84*Ajustes!$B$5-$H84,2)),0))</f>
        <v/>
      </c>
      <c r="K84" s="21" t="str">
        <f aca="false">IF($E84="","",$G84+$J84)</f>
        <v/>
      </c>
      <c r="L84" s="21" t="str">
        <f aca="false">IF($E84="","",$I84-$K84)</f>
        <v/>
      </c>
      <c r="M84" s="22" t="str">
        <f aca="false">IF($A84="","",YEAR($A84))</f>
        <v/>
      </c>
      <c r="N84" s="22" t="str">
        <f aca="false">IF($A84="","",ROUNDUP(MONTH($A84)/3,0))</f>
        <v/>
      </c>
    </row>
    <row r="85" customFormat="false" ht="15" hidden="false" customHeight="false" outlineLevel="0" collapsed="false">
      <c r="A85" s="18"/>
      <c r="B85" s="19"/>
      <c r="C85" s="19"/>
      <c r="D85" s="19"/>
      <c r="E85" s="14"/>
      <c r="F85" s="20"/>
      <c r="G85" s="21" t="str">
        <f aca="false">IF($E85="","",ROUND($E85*Ajustes!$B$4,2))</f>
        <v/>
      </c>
      <c r="H85" s="21" t="str">
        <f aca="false">IF($E85="","",ROUND($E85*N($F85),2))</f>
        <v/>
      </c>
      <c r="I85" s="21" t="str">
        <f aca="false">IF($E85="","",$E85+$G85-$H85)</f>
        <v/>
      </c>
      <c r="J85" s="21" t="str">
        <f aca="false">IF($E85="","",IF(Ajustes!$B$6="Sí",MAX(0,ROUND($E85*Ajustes!$B$5-$H85,2)),0))</f>
        <v/>
      </c>
      <c r="K85" s="21" t="str">
        <f aca="false">IF($E85="","",$G85+$J85)</f>
        <v/>
      </c>
      <c r="L85" s="21" t="str">
        <f aca="false">IF($E85="","",$I85-$K85)</f>
        <v/>
      </c>
      <c r="M85" s="22" t="str">
        <f aca="false">IF($A85="","",YEAR($A85))</f>
        <v/>
      </c>
      <c r="N85" s="22" t="str">
        <f aca="false">IF($A85="","",ROUNDUP(MONTH($A85)/3,0))</f>
        <v/>
      </c>
    </row>
    <row r="86" customFormat="false" ht="15" hidden="false" customHeight="false" outlineLevel="0" collapsed="false">
      <c r="A86" s="18"/>
      <c r="B86" s="19"/>
      <c r="C86" s="19"/>
      <c r="D86" s="19"/>
      <c r="E86" s="14"/>
      <c r="F86" s="20"/>
      <c r="G86" s="21" t="str">
        <f aca="false">IF($E86="","",ROUND($E86*Ajustes!$B$4,2))</f>
        <v/>
      </c>
      <c r="H86" s="21" t="str">
        <f aca="false">IF($E86="","",ROUND($E86*N($F86),2))</f>
        <v/>
      </c>
      <c r="I86" s="21" t="str">
        <f aca="false">IF($E86="","",$E86+$G86-$H86)</f>
        <v/>
      </c>
      <c r="J86" s="21" t="str">
        <f aca="false">IF($E86="","",IF(Ajustes!$B$6="Sí",MAX(0,ROUND($E86*Ajustes!$B$5-$H86,2)),0))</f>
        <v/>
      </c>
      <c r="K86" s="21" t="str">
        <f aca="false">IF($E86="","",$G86+$J86)</f>
        <v/>
      </c>
      <c r="L86" s="21" t="str">
        <f aca="false">IF($E86="","",$I86-$K86)</f>
        <v/>
      </c>
      <c r="M86" s="22" t="str">
        <f aca="false">IF($A86="","",YEAR($A86))</f>
        <v/>
      </c>
      <c r="N86" s="22" t="str">
        <f aca="false">IF($A86="","",ROUNDUP(MONTH($A86)/3,0))</f>
        <v/>
      </c>
    </row>
    <row r="87" customFormat="false" ht="15" hidden="false" customHeight="false" outlineLevel="0" collapsed="false">
      <c r="A87" s="18"/>
      <c r="B87" s="19"/>
      <c r="C87" s="19"/>
      <c r="D87" s="19"/>
      <c r="E87" s="14"/>
      <c r="F87" s="20"/>
      <c r="G87" s="21" t="str">
        <f aca="false">IF($E87="","",ROUND($E87*Ajustes!$B$4,2))</f>
        <v/>
      </c>
      <c r="H87" s="21" t="str">
        <f aca="false">IF($E87="","",ROUND($E87*N($F87),2))</f>
        <v/>
      </c>
      <c r="I87" s="21" t="str">
        <f aca="false">IF($E87="","",$E87+$G87-$H87)</f>
        <v/>
      </c>
      <c r="J87" s="21" t="str">
        <f aca="false">IF($E87="","",IF(Ajustes!$B$6="Sí",MAX(0,ROUND($E87*Ajustes!$B$5-$H87,2)),0))</f>
        <v/>
      </c>
      <c r="K87" s="21" t="str">
        <f aca="false">IF($E87="","",$G87+$J87)</f>
        <v/>
      </c>
      <c r="L87" s="21" t="str">
        <f aca="false">IF($E87="","",$I87-$K87)</f>
        <v/>
      </c>
      <c r="M87" s="22" t="str">
        <f aca="false">IF($A87="","",YEAR($A87))</f>
        <v/>
      </c>
      <c r="N87" s="22" t="str">
        <f aca="false">IF($A87="","",ROUNDUP(MONTH($A87)/3,0))</f>
        <v/>
      </c>
    </row>
    <row r="88" customFormat="false" ht="15" hidden="false" customHeight="false" outlineLevel="0" collapsed="false">
      <c r="A88" s="18"/>
      <c r="B88" s="19"/>
      <c r="C88" s="19"/>
      <c r="D88" s="19"/>
      <c r="E88" s="14"/>
      <c r="F88" s="20"/>
      <c r="G88" s="21" t="str">
        <f aca="false">IF($E88="","",ROUND($E88*Ajustes!$B$4,2))</f>
        <v/>
      </c>
      <c r="H88" s="21" t="str">
        <f aca="false">IF($E88="","",ROUND($E88*N($F88),2))</f>
        <v/>
      </c>
      <c r="I88" s="21" t="str">
        <f aca="false">IF($E88="","",$E88+$G88-$H88)</f>
        <v/>
      </c>
      <c r="J88" s="21" t="str">
        <f aca="false">IF($E88="","",IF(Ajustes!$B$6="Sí",MAX(0,ROUND($E88*Ajustes!$B$5-$H88,2)),0))</f>
        <v/>
      </c>
      <c r="K88" s="21" t="str">
        <f aca="false">IF($E88="","",$G88+$J88)</f>
        <v/>
      </c>
      <c r="L88" s="21" t="str">
        <f aca="false">IF($E88="","",$I88-$K88)</f>
        <v/>
      </c>
      <c r="M88" s="22" t="str">
        <f aca="false">IF($A88="","",YEAR($A88))</f>
        <v/>
      </c>
      <c r="N88" s="22" t="str">
        <f aca="false">IF($A88="","",ROUNDUP(MONTH($A88)/3,0))</f>
        <v/>
      </c>
    </row>
    <row r="89" customFormat="false" ht="15" hidden="false" customHeight="false" outlineLevel="0" collapsed="false">
      <c r="A89" s="18"/>
      <c r="B89" s="19"/>
      <c r="C89" s="19"/>
      <c r="D89" s="19"/>
      <c r="E89" s="14"/>
      <c r="F89" s="20"/>
      <c r="G89" s="21" t="str">
        <f aca="false">IF($E89="","",ROUND($E89*Ajustes!$B$4,2))</f>
        <v/>
      </c>
      <c r="H89" s="21" t="str">
        <f aca="false">IF($E89="","",ROUND($E89*N($F89),2))</f>
        <v/>
      </c>
      <c r="I89" s="21" t="str">
        <f aca="false">IF($E89="","",$E89+$G89-$H89)</f>
        <v/>
      </c>
      <c r="J89" s="21" t="str">
        <f aca="false">IF($E89="","",IF(Ajustes!$B$6="Sí",MAX(0,ROUND($E89*Ajustes!$B$5-$H89,2)),0))</f>
        <v/>
      </c>
      <c r="K89" s="21" t="str">
        <f aca="false">IF($E89="","",$G89+$J89)</f>
        <v/>
      </c>
      <c r="L89" s="21" t="str">
        <f aca="false">IF($E89="","",$I89-$K89)</f>
        <v/>
      </c>
      <c r="M89" s="22" t="str">
        <f aca="false">IF($A89="","",YEAR($A89))</f>
        <v/>
      </c>
      <c r="N89" s="22" t="str">
        <f aca="false">IF($A89="","",ROUNDUP(MONTH($A89)/3,0))</f>
        <v/>
      </c>
    </row>
    <row r="90" customFormat="false" ht="15" hidden="false" customHeight="false" outlineLevel="0" collapsed="false">
      <c r="A90" s="18"/>
      <c r="B90" s="19"/>
      <c r="C90" s="19"/>
      <c r="D90" s="19"/>
      <c r="E90" s="14"/>
      <c r="F90" s="20"/>
      <c r="G90" s="21" t="str">
        <f aca="false">IF($E90="","",ROUND($E90*Ajustes!$B$4,2))</f>
        <v/>
      </c>
      <c r="H90" s="21" t="str">
        <f aca="false">IF($E90="","",ROUND($E90*N($F90),2))</f>
        <v/>
      </c>
      <c r="I90" s="21" t="str">
        <f aca="false">IF($E90="","",$E90+$G90-$H90)</f>
        <v/>
      </c>
      <c r="J90" s="21" t="str">
        <f aca="false">IF($E90="","",IF(Ajustes!$B$6="Sí",MAX(0,ROUND($E90*Ajustes!$B$5-$H90,2)),0))</f>
        <v/>
      </c>
      <c r="K90" s="21" t="str">
        <f aca="false">IF($E90="","",$G90+$J90)</f>
        <v/>
      </c>
      <c r="L90" s="21" t="str">
        <f aca="false">IF($E90="","",$I90-$K90)</f>
        <v/>
      </c>
      <c r="M90" s="22" t="str">
        <f aca="false">IF($A90="","",YEAR($A90))</f>
        <v/>
      </c>
      <c r="N90" s="22" t="str">
        <f aca="false">IF($A90="","",ROUNDUP(MONTH($A90)/3,0))</f>
        <v/>
      </c>
    </row>
    <row r="91" customFormat="false" ht="15" hidden="false" customHeight="false" outlineLevel="0" collapsed="false">
      <c r="A91" s="18"/>
      <c r="B91" s="19"/>
      <c r="C91" s="19"/>
      <c r="D91" s="19"/>
      <c r="E91" s="14"/>
      <c r="F91" s="20"/>
      <c r="G91" s="21" t="str">
        <f aca="false">IF($E91="","",ROUND($E91*Ajustes!$B$4,2))</f>
        <v/>
      </c>
      <c r="H91" s="21" t="str">
        <f aca="false">IF($E91="","",ROUND($E91*N($F91),2))</f>
        <v/>
      </c>
      <c r="I91" s="21" t="str">
        <f aca="false">IF($E91="","",$E91+$G91-$H91)</f>
        <v/>
      </c>
      <c r="J91" s="21" t="str">
        <f aca="false">IF($E91="","",IF(Ajustes!$B$6="Sí",MAX(0,ROUND($E91*Ajustes!$B$5-$H91,2)),0))</f>
        <v/>
      </c>
      <c r="K91" s="21" t="str">
        <f aca="false">IF($E91="","",$G91+$J91)</f>
        <v/>
      </c>
      <c r="L91" s="21" t="str">
        <f aca="false">IF($E91="","",$I91-$K91)</f>
        <v/>
      </c>
      <c r="M91" s="22" t="str">
        <f aca="false">IF($A91="","",YEAR($A91))</f>
        <v/>
      </c>
      <c r="N91" s="22" t="str">
        <f aca="false">IF($A91="","",ROUNDUP(MONTH($A91)/3,0))</f>
        <v/>
      </c>
    </row>
    <row r="92" customFormat="false" ht="15" hidden="false" customHeight="false" outlineLevel="0" collapsed="false">
      <c r="A92" s="18"/>
      <c r="B92" s="19"/>
      <c r="C92" s="19"/>
      <c r="D92" s="19"/>
      <c r="E92" s="14"/>
      <c r="F92" s="20"/>
      <c r="G92" s="21" t="str">
        <f aca="false">IF($E92="","",ROUND($E92*Ajustes!$B$4,2))</f>
        <v/>
      </c>
      <c r="H92" s="21" t="str">
        <f aca="false">IF($E92="","",ROUND($E92*N($F92),2))</f>
        <v/>
      </c>
      <c r="I92" s="21" t="str">
        <f aca="false">IF($E92="","",$E92+$G92-$H92)</f>
        <v/>
      </c>
      <c r="J92" s="21" t="str">
        <f aca="false">IF($E92="","",IF(Ajustes!$B$6="Sí",MAX(0,ROUND($E92*Ajustes!$B$5-$H92,2)),0))</f>
        <v/>
      </c>
      <c r="K92" s="21" t="str">
        <f aca="false">IF($E92="","",$G92+$J92)</f>
        <v/>
      </c>
      <c r="L92" s="21" t="str">
        <f aca="false">IF($E92="","",$I92-$K92)</f>
        <v/>
      </c>
      <c r="M92" s="22" t="str">
        <f aca="false">IF($A92="","",YEAR($A92))</f>
        <v/>
      </c>
      <c r="N92" s="22" t="str">
        <f aca="false">IF($A92="","",ROUNDUP(MONTH($A92)/3,0))</f>
        <v/>
      </c>
    </row>
    <row r="93" customFormat="false" ht="15" hidden="false" customHeight="false" outlineLevel="0" collapsed="false">
      <c r="A93" s="18"/>
      <c r="B93" s="19"/>
      <c r="C93" s="19"/>
      <c r="D93" s="19"/>
      <c r="E93" s="14"/>
      <c r="F93" s="20"/>
      <c r="G93" s="21" t="str">
        <f aca="false">IF($E93="","",ROUND($E93*Ajustes!$B$4,2))</f>
        <v/>
      </c>
      <c r="H93" s="21" t="str">
        <f aca="false">IF($E93="","",ROUND($E93*N($F93),2))</f>
        <v/>
      </c>
      <c r="I93" s="21" t="str">
        <f aca="false">IF($E93="","",$E93+$G93-$H93)</f>
        <v/>
      </c>
      <c r="J93" s="21" t="str">
        <f aca="false">IF($E93="","",IF(Ajustes!$B$6="Sí",MAX(0,ROUND($E93*Ajustes!$B$5-$H93,2)),0))</f>
        <v/>
      </c>
      <c r="K93" s="21" t="str">
        <f aca="false">IF($E93="","",$G93+$J93)</f>
        <v/>
      </c>
      <c r="L93" s="21" t="str">
        <f aca="false">IF($E93="","",$I93-$K93)</f>
        <v/>
      </c>
      <c r="M93" s="22" t="str">
        <f aca="false">IF($A93="","",YEAR($A93))</f>
        <v/>
      </c>
      <c r="N93" s="22" t="str">
        <f aca="false">IF($A93="","",ROUNDUP(MONTH($A93)/3,0))</f>
        <v/>
      </c>
    </row>
    <row r="94" customFormat="false" ht="15" hidden="false" customHeight="false" outlineLevel="0" collapsed="false">
      <c r="A94" s="18"/>
      <c r="B94" s="19"/>
      <c r="C94" s="19"/>
      <c r="D94" s="19"/>
      <c r="E94" s="14"/>
      <c r="F94" s="20"/>
      <c r="G94" s="21" t="str">
        <f aca="false">IF($E94="","",ROUND($E94*Ajustes!$B$4,2))</f>
        <v/>
      </c>
      <c r="H94" s="21" t="str">
        <f aca="false">IF($E94="","",ROUND($E94*N($F94),2))</f>
        <v/>
      </c>
      <c r="I94" s="21" t="str">
        <f aca="false">IF($E94="","",$E94+$G94-$H94)</f>
        <v/>
      </c>
      <c r="J94" s="21" t="str">
        <f aca="false">IF($E94="","",IF(Ajustes!$B$6="Sí",MAX(0,ROUND($E94*Ajustes!$B$5-$H94,2)),0))</f>
        <v/>
      </c>
      <c r="K94" s="21" t="str">
        <f aca="false">IF($E94="","",$G94+$J94)</f>
        <v/>
      </c>
      <c r="L94" s="21" t="str">
        <f aca="false">IF($E94="","",$I94-$K94)</f>
        <v/>
      </c>
      <c r="M94" s="22" t="str">
        <f aca="false">IF($A94="","",YEAR($A94))</f>
        <v/>
      </c>
      <c r="N94" s="22" t="str">
        <f aca="false">IF($A94="","",ROUNDUP(MONTH($A94)/3,0))</f>
        <v/>
      </c>
    </row>
    <row r="95" customFormat="false" ht="15" hidden="false" customHeight="false" outlineLevel="0" collapsed="false">
      <c r="A95" s="18"/>
      <c r="B95" s="19"/>
      <c r="C95" s="19"/>
      <c r="D95" s="19"/>
      <c r="E95" s="14"/>
      <c r="F95" s="20"/>
      <c r="G95" s="21" t="str">
        <f aca="false">IF($E95="","",ROUND($E95*Ajustes!$B$4,2))</f>
        <v/>
      </c>
      <c r="H95" s="21" t="str">
        <f aca="false">IF($E95="","",ROUND($E95*N($F95),2))</f>
        <v/>
      </c>
      <c r="I95" s="21" t="str">
        <f aca="false">IF($E95="","",$E95+$G95-$H95)</f>
        <v/>
      </c>
      <c r="J95" s="21" t="str">
        <f aca="false">IF($E95="","",IF(Ajustes!$B$6="Sí",MAX(0,ROUND($E95*Ajustes!$B$5-$H95,2)),0))</f>
        <v/>
      </c>
      <c r="K95" s="21" t="str">
        <f aca="false">IF($E95="","",$G95+$J95)</f>
        <v/>
      </c>
      <c r="L95" s="21" t="str">
        <f aca="false">IF($E95="","",$I95-$K95)</f>
        <v/>
      </c>
      <c r="M95" s="22" t="str">
        <f aca="false">IF($A95="","",YEAR($A95))</f>
        <v/>
      </c>
      <c r="N95" s="22" t="str">
        <f aca="false">IF($A95="","",ROUNDUP(MONTH($A95)/3,0))</f>
        <v/>
      </c>
    </row>
    <row r="96" customFormat="false" ht="15" hidden="false" customHeight="false" outlineLevel="0" collapsed="false">
      <c r="A96" s="18"/>
      <c r="B96" s="19"/>
      <c r="C96" s="19"/>
      <c r="D96" s="19"/>
      <c r="E96" s="14"/>
      <c r="F96" s="20"/>
      <c r="G96" s="21" t="str">
        <f aca="false">IF($E96="","",ROUND($E96*Ajustes!$B$4,2))</f>
        <v/>
      </c>
      <c r="H96" s="21" t="str">
        <f aca="false">IF($E96="","",ROUND($E96*N($F96),2))</f>
        <v/>
      </c>
      <c r="I96" s="21" t="str">
        <f aca="false">IF($E96="","",$E96+$G96-$H96)</f>
        <v/>
      </c>
      <c r="J96" s="21" t="str">
        <f aca="false">IF($E96="","",IF(Ajustes!$B$6="Sí",MAX(0,ROUND($E96*Ajustes!$B$5-$H96,2)),0))</f>
        <v/>
      </c>
      <c r="K96" s="21" t="str">
        <f aca="false">IF($E96="","",$G96+$J96)</f>
        <v/>
      </c>
      <c r="L96" s="21" t="str">
        <f aca="false">IF($E96="","",$I96-$K96)</f>
        <v/>
      </c>
      <c r="M96" s="22" t="str">
        <f aca="false">IF($A96="","",YEAR($A96))</f>
        <v/>
      </c>
      <c r="N96" s="22" t="str">
        <f aca="false">IF($A96="","",ROUNDUP(MONTH($A96)/3,0))</f>
        <v/>
      </c>
    </row>
    <row r="97" customFormat="false" ht="15" hidden="false" customHeight="false" outlineLevel="0" collapsed="false">
      <c r="A97" s="18"/>
      <c r="B97" s="19"/>
      <c r="C97" s="19"/>
      <c r="D97" s="19"/>
      <c r="E97" s="14"/>
      <c r="F97" s="20"/>
      <c r="G97" s="21" t="str">
        <f aca="false">IF($E97="","",ROUND($E97*Ajustes!$B$4,2))</f>
        <v/>
      </c>
      <c r="H97" s="21" t="str">
        <f aca="false">IF($E97="","",ROUND($E97*N($F97),2))</f>
        <v/>
      </c>
      <c r="I97" s="21" t="str">
        <f aca="false">IF($E97="","",$E97+$G97-$H97)</f>
        <v/>
      </c>
      <c r="J97" s="21" t="str">
        <f aca="false">IF($E97="","",IF(Ajustes!$B$6="Sí",MAX(0,ROUND($E97*Ajustes!$B$5-$H97,2)),0))</f>
        <v/>
      </c>
      <c r="K97" s="21" t="str">
        <f aca="false">IF($E97="","",$G97+$J97)</f>
        <v/>
      </c>
      <c r="L97" s="21" t="str">
        <f aca="false">IF($E97="","",$I97-$K97)</f>
        <v/>
      </c>
      <c r="M97" s="22" t="str">
        <f aca="false">IF($A97="","",YEAR($A97))</f>
        <v/>
      </c>
      <c r="N97" s="22" t="str">
        <f aca="false">IF($A97="","",ROUNDUP(MONTH($A97)/3,0))</f>
        <v/>
      </c>
    </row>
    <row r="98" customFormat="false" ht="15" hidden="false" customHeight="false" outlineLevel="0" collapsed="false">
      <c r="A98" s="18"/>
      <c r="B98" s="19"/>
      <c r="C98" s="19"/>
      <c r="D98" s="19"/>
      <c r="E98" s="14"/>
      <c r="F98" s="20"/>
      <c r="G98" s="21" t="str">
        <f aca="false">IF($E98="","",ROUND($E98*Ajustes!$B$4,2))</f>
        <v/>
      </c>
      <c r="H98" s="21" t="str">
        <f aca="false">IF($E98="","",ROUND($E98*N($F98),2))</f>
        <v/>
      </c>
      <c r="I98" s="21" t="str">
        <f aca="false">IF($E98="","",$E98+$G98-$H98)</f>
        <v/>
      </c>
      <c r="J98" s="21" t="str">
        <f aca="false">IF($E98="","",IF(Ajustes!$B$6="Sí",MAX(0,ROUND($E98*Ajustes!$B$5-$H98,2)),0))</f>
        <v/>
      </c>
      <c r="K98" s="21" t="str">
        <f aca="false">IF($E98="","",$G98+$J98)</f>
        <v/>
      </c>
      <c r="L98" s="21" t="str">
        <f aca="false">IF($E98="","",$I98-$K98)</f>
        <v/>
      </c>
      <c r="M98" s="22" t="str">
        <f aca="false">IF($A98="","",YEAR($A98))</f>
        <v/>
      </c>
      <c r="N98" s="22" t="str">
        <f aca="false">IF($A98="","",ROUNDUP(MONTH($A98)/3,0))</f>
        <v/>
      </c>
    </row>
    <row r="99" customFormat="false" ht="15" hidden="false" customHeight="false" outlineLevel="0" collapsed="false">
      <c r="A99" s="18"/>
      <c r="B99" s="19"/>
      <c r="C99" s="19"/>
      <c r="D99" s="19"/>
      <c r="E99" s="14"/>
      <c r="F99" s="20"/>
      <c r="G99" s="21" t="str">
        <f aca="false">IF($E99="","",ROUND($E99*Ajustes!$B$4,2))</f>
        <v/>
      </c>
      <c r="H99" s="21" t="str">
        <f aca="false">IF($E99="","",ROUND($E99*N($F99),2))</f>
        <v/>
      </c>
      <c r="I99" s="21" t="str">
        <f aca="false">IF($E99="","",$E99+$G99-$H99)</f>
        <v/>
      </c>
      <c r="J99" s="21" t="str">
        <f aca="false">IF($E99="","",IF(Ajustes!$B$6="Sí",MAX(0,ROUND($E99*Ajustes!$B$5-$H99,2)),0))</f>
        <v/>
      </c>
      <c r="K99" s="21" t="str">
        <f aca="false">IF($E99="","",$G99+$J99)</f>
        <v/>
      </c>
      <c r="L99" s="21" t="str">
        <f aca="false">IF($E99="","",$I99-$K99)</f>
        <v/>
      </c>
      <c r="M99" s="22" t="str">
        <f aca="false">IF($A99="","",YEAR($A99))</f>
        <v/>
      </c>
      <c r="N99" s="22" t="str">
        <f aca="false">IF($A99="","",ROUNDUP(MONTH($A99)/3,0))</f>
        <v/>
      </c>
    </row>
    <row r="100" customFormat="false" ht="15" hidden="false" customHeight="false" outlineLevel="0" collapsed="false">
      <c r="A100" s="18"/>
      <c r="B100" s="19"/>
      <c r="C100" s="19"/>
      <c r="D100" s="19"/>
      <c r="E100" s="14"/>
      <c r="F100" s="20"/>
      <c r="G100" s="21" t="str">
        <f aca="false">IF($E100="","",ROUND($E100*Ajustes!$B$4,2))</f>
        <v/>
      </c>
      <c r="H100" s="21" t="str">
        <f aca="false">IF($E100="","",ROUND($E100*N($F100),2))</f>
        <v/>
      </c>
      <c r="I100" s="21" t="str">
        <f aca="false">IF($E100="","",$E100+$G100-$H100)</f>
        <v/>
      </c>
      <c r="J100" s="21" t="str">
        <f aca="false">IF($E100="","",IF(Ajustes!$B$6="Sí",MAX(0,ROUND($E100*Ajustes!$B$5-$H100,2)),0))</f>
        <v/>
      </c>
      <c r="K100" s="21" t="str">
        <f aca="false">IF($E100="","",$G100+$J100)</f>
        <v/>
      </c>
      <c r="L100" s="21" t="str">
        <f aca="false">IF($E100="","",$I100-$K100)</f>
        <v/>
      </c>
      <c r="M100" s="22" t="str">
        <f aca="false">IF($A100="","",YEAR($A100))</f>
        <v/>
      </c>
      <c r="N100" s="22" t="str">
        <f aca="false">IF($A100="","",ROUNDUP(MONTH($A100)/3,0))</f>
        <v/>
      </c>
    </row>
    <row r="101" customFormat="false" ht="15" hidden="false" customHeight="false" outlineLevel="0" collapsed="false">
      <c r="A101" s="18"/>
      <c r="B101" s="19"/>
      <c r="C101" s="19"/>
      <c r="D101" s="19"/>
      <c r="E101" s="14"/>
      <c r="F101" s="20"/>
      <c r="G101" s="21" t="str">
        <f aca="false">IF($E101="","",ROUND($E101*Ajustes!$B$4,2))</f>
        <v/>
      </c>
      <c r="H101" s="21" t="str">
        <f aca="false">IF($E101="","",ROUND($E101*N($F101),2))</f>
        <v/>
      </c>
      <c r="I101" s="21" t="str">
        <f aca="false">IF($E101="","",$E101+$G101-$H101)</f>
        <v/>
      </c>
      <c r="J101" s="21" t="str">
        <f aca="false">IF($E101="","",IF(Ajustes!$B$6="Sí",MAX(0,ROUND($E101*Ajustes!$B$5-$H101,2)),0))</f>
        <v/>
      </c>
      <c r="K101" s="21" t="str">
        <f aca="false">IF($E101="","",$G101+$J101)</f>
        <v/>
      </c>
      <c r="L101" s="21" t="str">
        <f aca="false">IF($E101="","",$I101-$K101)</f>
        <v/>
      </c>
      <c r="M101" s="22" t="str">
        <f aca="false">IF($A101="","",YEAR($A101))</f>
        <v/>
      </c>
      <c r="N101" s="22" t="str">
        <f aca="false">IF($A101="","",ROUNDUP(MONTH($A101)/3,0))</f>
        <v/>
      </c>
    </row>
    <row r="102" customFormat="false" ht="15" hidden="false" customHeight="false" outlineLevel="0" collapsed="false">
      <c r="A102" s="18"/>
      <c r="B102" s="19"/>
      <c r="C102" s="19"/>
      <c r="D102" s="19"/>
      <c r="E102" s="14"/>
      <c r="F102" s="20"/>
      <c r="G102" s="21" t="str">
        <f aca="false">IF($E102="","",ROUND($E102*Ajustes!$B$4,2))</f>
        <v/>
      </c>
      <c r="H102" s="21" t="str">
        <f aca="false">IF($E102="","",ROUND($E102*N($F102),2))</f>
        <v/>
      </c>
      <c r="I102" s="21" t="str">
        <f aca="false">IF($E102="","",$E102+$G102-$H102)</f>
        <v/>
      </c>
      <c r="J102" s="21" t="str">
        <f aca="false">IF($E102="","",IF(Ajustes!$B$6="Sí",MAX(0,ROUND($E102*Ajustes!$B$5-$H102,2)),0))</f>
        <v/>
      </c>
      <c r="K102" s="21" t="str">
        <f aca="false">IF($E102="","",$G102+$J102)</f>
        <v/>
      </c>
      <c r="L102" s="21" t="str">
        <f aca="false">IF($E102="","",$I102-$K102)</f>
        <v/>
      </c>
      <c r="M102" s="22" t="str">
        <f aca="false">IF($A102="","",YEAR($A102))</f>
        <v/>
      </c>
      <c r="N102" s="22" t="str">
        <f aca="false">IF($A102="","",ROUNDUP(MONTH($A102)/3,0))</f>
        <v/>
      </c>
    </row>
    <row r="103" customFormat="false" ht="15" hidden="false" customHeight="false" outlineLevel="0" collapsed="false">
      <c r="A103" s="18"/>
      <c r="B103" s="19"/>
      <c r="C103" s="19"/>
      <c r="D103" s="19"/>
      <c r="E103" s="14"/>
      <c r="F103" s="20"/>
      <c r="G103" s="21" t="str">
        <f aca="false">IF($E103="","",ROUND($E103*Ajustes!$B$4,2))</f>
        <v/>
      </c>
      <c r="H103" s="21" t="str">
        <f aca="false">IF($E103="","",ROUND($E103*N($F103),2))</f>
        <v/>
      </c>
      <c r="I103" s="21" t="str">
        <f aca="false">IF($E103="","",$E103+$G103-$H103)</f>
        <v/>
      </c>
      <c r="J103" s="21" t="str">
        <f aca="false">IF($E103="","",IF(Ajustes!$B$6="Sí",MAX(0,ROUND($E103*Ajustes!$B$5-$H103,2)),0))</f>
        <v/>
      </c>
      <c r="K103" s="21" t="str">
        <f aca="false">IF($E103="","",$G103+$J103)</f>
        <v/>
      </c>
      <c r="L103" s="21" t="str">
        <f aca="false">IF($E103="","",$I103-$K103)</f>
        <v/>
      </c>
      <c r="M103" s="22" t="str">
        <f aca="false">IF($A103="","",YEAR($A103))</f>
        <v/>
      </c>
      <c r="N103" s="22" t="str">
        <f aca="false">IF($A103="","",ROUNDUP(MONTH($A103)/3,0))</f>
        <v/>
      </c>
    </row>
    <row r="104" customFormat="false" ht="15" hidden="false" customHeight="false" outlineLevel="0" collapsed="false">
      <c r="A104" s="18"/>
      <c r="B104" s="19"/>
      <c r="C104" s="19"/>
      <c r="D104" s="19"/>
      <c r="E104" s="14"/>
      <c r="F104" s="20"/>
      <c r="G104" s="21" t="str">
        <f aca="false">IF($E104="","",ROUND($E104*Ajustes!$B$4,2))</f>
        <v/>
      </c>
      <c r="H104" s="21" t="str">
        <f aca="false">IF($E104="","",ROUND($E104*N($F104),2))</f>
        <v/>
      </c>
      <c r="I104" s="21" t="str">
        <f aca="false">IF($E104="","",$E104+$G104-$H104)</f>
        <v/>
      </c>
      <c r="J104" s="21" t="str">
        <f aca="false">IF($E104="","",IF(Ajustes!$B$6="Sí",MAX(0,ROUND($E104*Ajustes!$B$5-$H104,2)),0))</f>
        <v/>
      </c>
      <c r="K104" s="21" t="str">
        <f aca="false">IF($E104="","",$G104+$J104)</f>
        <v/>
      </c>
      <c r="L104" s="21" t="str">
        <f aca="false">IF($E104="","",$I104-$K104)</f>
        <v/>
      </c>
      <c r="M104" s="22" t="str">
        <f aca="false">IF($A104="","",YEAR($A104))</f>
        <v/>
      </c>
      <c r="N104" s="22" t="str">
        <f aca="false">IF($A104="","",ROUNDUP(MONTH($A104)/3,0))</f>
        <v/>
      </c>
    </row>
    <row r="105" customFormat="false" ht="15" hidden="false" customHeight="false" outlineLevel="0" collapsed="false">
      <c r="A105" s="18"/>
      <c r="B105" s="19"/>
      <c r="C105" s="19"/>
      <c r="D105" s="19"/>
      <c r="E105" s="14"/>
      <c r="F105" s="20"/>
      <c r="G105" s="21" t="str">
        <f aca="false">IF($E105="","",ROUND($E105*Ajustes!$B$4,2))</f>
        <v/>
      </c>
      <c r="H105" s="21" t="str">
        <f aca="false">IF($E105="","",ROUND($E105*N($F105),2))</f>
        <v/>
      </c>
      <c r="I105" s="21" t="str">
        <f aca="false">IF($E105="","",$E105+$G105-$H105)</f>
        <v/>
      </c>
      <c r="J105" s="21" t="str">
        <f aca="false">IF($E105="","",IF(Ajustes!$B$6="Sí",MAX(0,ROUND($E105*Ajustes!$B$5-$H105,2)),0))</f>
        <v/>
      </c>
      <c r="K105" s="21" t="str">
        <f aca="false">IF($E105="","",$G105+$J105)</f>
        <v/>
      </c>
      <c r="L105" s="21" t="str">
        <f aca="false">IF($E105="","",$I105-$K105)</f>
        <v/>
      </c>
      <c r="M105" s="22" t="str">
        <f aca="false">IF($A105="","",YEAR($A105))</f>
        <v/>
      </c>
      <c r="N105" s="22" t="str">
        <f aca="false">IF($A105="","",ROUNDUP(MONTH($A105)/3,0))</f>
        <v/>
      </c>
    </row>
    <row r="106" customFormat="false" ht="15" hidden="false" customHeight="false" outlineLevel="0" collapsed="false">
      <c r="A106" s="18"/>
      <c r="B106" s="19"/>
      <c r="C106" s="19"/>
      <c r="D106" s="19"/>
      <c r="E106" s="14"/>
      <c r="F106" s="20"/>
      <c r="G106" s="21" t="str">
        <f aca="false">IF($E106="","",ROUND($E106*Ajustes!$B$4,2))</f>
        <v/>
      </c>
      <c r="H106" s="21" t="str">
        <f aca="false">IF($E106="","",ROUND($E106*N($F106),2))</f>
        <v/>
      </c>
      <c r="I106" s="21" t="str">
        <f aca="false">IF($E106="","",$E106+$G106-$H106)</f>
        <v/>
      </c>
      <c r="J106" s="21" t="str">
        <f aca="false">IF($E106="","",IF(Ajustes!$B$6="Sí",MAX(0,ROUND($E106*Ajustes!$B$5-$H106,2)),0))</f>
        <v/>
      </c>
      <c r="K106" s="21" t="str">
        <f aca="false">IF($E106="","",$G106+$J106)</f>
        <v/>
      </c>
      <c r="L106" s="21" t="str">
        <f aca="false">IF($E106="","",$I106-$K106)</f>
        <v/>
      </c>
      <c r="M106" s="22" t="str">
        <f aca="false">IF($A106="","",YEAR($A106))</f>
        <v/>
      </c>
      <c r="N106" s="22" t="str">
        <f aca="false">IF($A106="","",ROUNDUP(MONTH($A106)/3,0))</f>
        <v/>
      </c>
    </row>
    <row r="107" customFormat="false" ht="15" hidden="false" customHeight="false" outlineLevel="0" collapsed="false">
      <c r="A107" s="18"/>
      <c r="B107" s="19"/>
      <c r="C107" s="19"/>
      <c r="D107" s="19"/>
      <c r="E107" s="14"/>
      <c r="F107" s="20"/>
      <c r="G107" s="21" t="str">
        <f aca="false">IF($E107="","",ROUND($E107*Ajustes!$B$4,2))</f>
        <v/>
      </c>
      <c r="H107" s="21" t="str">
        <f aca="false">IF($E107="","",ROUND($E107*N($F107),2))</f>
        <v/>
      </c>
      <c r="I107" s="21" t="str">
        <f aca="false">IF($E107="","",$E107+$G107-$H107)</f>
        <v/>
      </c>
      <c r="J107" s="21" t="str">
        <f aca="false">IF($E107="","",IF(Ajustes!$B$6="Sí",MAX(0,ROUND($E107*Ajustes!$B$5-$H107,2)),0))</f>
        <v/>
      </c>
      <c r="K107" s="21" t="str">
        <f aca="false">IF($E107="","",$G107+$J107)</f>
        <v/>
      </c>
      <c r="L107" s="21" t="str">
        <f aca="false">IF($E107="","",$I107-$K107)</f>
        <v/>
      </c>
      <c r="M107" s="22" t="str">
        <f aca="false">IF($A107="","",YEAR($A107))</f>
        <v/>
      </c>
      <c r="N107" s="22" t="str">
        <f aca="false">IF($A107="","",ROUNDUP(MONTH($A107)/3,0))</f>
        <v/>
      </c>
    </row>
    <row r="108" customFormat="false" ht="15" hidden="false" customHeight="false" outlineLevel="0" collapsed="false">
      <c r="A108" s="18"/>
      <c r="B108" s="19"/>
      <c r="C108" s="19"/>
      <c r="D108" s="19"/>
      <c r="E108" s="14"/>
      <c r="F108" s="20"/>
      <c r="G108" s="21" t="str">
        <f aca="false">IF($E108="","",ROUND($E108*Ajustes!$B$4,2))</f>
        <v/>
      </c>
      <c r="H108" s="21" t="str">
        <f aca="false">IF($E108="","",ROUND($E108*N($F108),2))</f>
        <v/>
      </c>
      <c r="I108" s="21" t="str">
        <f aca="false">IF($E108="","",$E108+$G108-$H108)</f>
        <v/>
      </c>
      <c r="J108" s="21" t="str">
        <f aca="false">IF($E108="","",IF(Ajustes!$B$6="Sí",MAX(0,ROUND($E108*Ajustes!$B$5-$H108,2)),0))</f>
        <v/>
      </c>
      <c r="K108" s="21" t="str">
        <f aca="false">IF($E108="","",$G108+$J108)</f>
        <v/>
      </c>
      <c r="L108" s="21" t="str">
        <f aca="false">IF($E108="","",$I108-$K108)</f>
        <v/>
      </c>
      <c r="M108" s="22" t="str">
        <f aca="false">IF($A108="","",YEAR($A108))</f>
        <v/>
      </c>
      <c r="N108" s="22" t="str">
        <f aca="false">IF($A108="","",ROUNDUP(MONTH($A108)/3,0))</f>
        <v/>
      </c>
    </row>
    <row r="109" customFormat="false" ht="15" hidden="false" customHeight="false" outlineLevel="0" collapsed="false">
      <c r="A109" s="18"/>
      <c r="B109" s="19"/>
      <c r="C109" s="19"/>
      <c r="D109" s="19"/>
      <c r="E109" s="14"/>
      <c r="F109" s="20"/>
      <c r="G109" s="21" t="str">
        <f aca="false">IF($E109="","",ROUND($E109*Ajustes!$B$4,2))</f>
        <v/>
      </c>
      <c r="H109" s="21" t="str">
        <f aca="false">IF($E109="","",ROUND($E109*N($F109),2))</f>
        <v/>
      </c>
      <c r="I109" s="21" t="str">
        <f aca="false">IF($E109="","",$E109+$G109-$H109)</f>
        <v/>
      </c>
      <c r="J109" s="21" t="str">
        <f aca="false">IF($E109="","",IF(Ajustes!$B$6="Sí",MAX(0,ROUND($E109*Ajustes!$B$5-$H109,2)),0))</f>
        <v/>
      </c>
      <c r="K109" s="21" t="str">
        <f aca="false">IF($E109="","",$G109+$J109)</f>
        <v/>
      </c>
      <c r="L109" s="21" t="str">
        <f aca="false">IF($E109="","",$I109-$K109)</f>
        <v/>
      </c>
      <c r="M109" s="22" t="str">
        <f aca="false">IF($A109="","",YEAR($A109))</f>
        <v/>
      </c>
      <c r="N109" s="22" t="str">
        <f aca="false">IF($A109="","",ROUNDUP(MONTH($A109)/3,0))</f>
        <v/>
      </c>
    </row>
    <row r="110" customFormat="false" ht="15" hidden="false" customHeight="false" outlineLevel="0" collapsed="false">
      <c r="A110" s="18"/>
      <c r="B110" s="19"/>
      <c r="C110" s="19"/>
      <c r="D110" s="19"/>
      <c r="E110" s="14"/>
      <c r="F110" s="20"/>
      <c r="G110" s="21" t="str">
        <f aca="false">IF($E110="","",ROUND($E110*Ajustes!$B$4,2))</f>
        <v/>
      </c>
      <c r="H110" s="21" t="str">
        <f aca="false">IF($E110="","",ROUND($E110*N($F110),2))</f>
        <v/>
      </c>
      <c r="I110" s="21" t="str">
        <f aca="false">IF($E110="","",$E110+$G110-$H110)</f>
        <v/>
      </c>
      <c r="J110" s="21" t="str">
        <f aca="false">IF($E110="","",IF(Ajustes!$B$6="Sí",MAX(0,ROUND($E110*Ajustes!$B$5-$H110,2)),0))</f>
        <v/>
      </c>
      <c r="K110" s="21" t="str">
        <f aca="false">IF($E110="","",$G110+$J110)</f>
        <v/>
      </c>
      <c r="L110" s="21" t="str">
        <f aca="false">IF($E110="","",$I110-$K110)</f>
        <v/>
      </c>
      <c r="M110" s="22" t="str">
        <f aca="false">IF($A110="","",YEAR($A110))</f>
        <v/>
      </c>
      <c r="N110" s="22" t="str">
        <f aca="false">IF($A110="","",ROUNDUP(MONTH($A110)/3,0))</f>
        <v/>
      </c>
    </row>
    <row r="111" customFormat="false" ht="15" hidden="false" customHeight="false" outlineLevel="0" collapsed="false">
      <c r="A111" s="18"/>
      <c r="B111" s="19"/>
      <c r="C111" s="19"/>
      <c r="D111" s="19"/>
      <c r="E111" s="14"/>
      <c r="F111" s="20"/>
      <c r="G111" s="21" t="str">
        <f aca="false">IF($E111="","",ROUND($E111*Ajustes!$B$4,2))</f>
        <v/>
      </c>
      <c r="H111" s="21" t="str">
        <f aca="false">IF($E111="","",ROUND($E111*N($F111),2))</f>
        <v/>
      </c>
      <c r="I111" s="21" t="str">
        <f aca="false">IF($E111="","",$E111+$G111-$H111)</f>
        <v/>
      </c>
      <c r="J111" s="21" t="str">
        <f aca="false">IF($E111="","",IF(Ajustes!$B$6="Sí",MAX(0,ROUND($E111*Ajustes!$B$5-$H111,2)),0))</f>
        <v/>
      </c>
      <c r="K111" s="21" t="str">
        <f aca="false">IF($E111="","",$G111+$J111)</f>
        <v/>
      </c>
      <c r="L111" s="21" t="str">
        <f aca="false">IF($E111="","",$I111-$K111)</f>
        <v/>
      </c>
      <c r="M111" s="22" t="str">
        <f aca="false">IF($A111="","",YEAR($A111))</f>
        <v/>
      </c>
      <c r="N111" s="22" t="str">
        <f aca="false">IF($A111="","",ROUNDUP(MONTH($A111)/3,0))</f>
        <v/>
      </c>
    </row>
    <row r="112" customFormat="false" ht="15" hidden="false" customHeight="false" outlineLevel="0" collapsed="false">
      <c r="A112" s="18"/>
      <c r="B112" s="19"/>
      <c r="C112" s="19"/>
      <c r="D112" s="19"/>
      <c r="E112" s="14"/>
      <c r="F112" s="20"/>
      <c r="G112" s="21" t="str">
        <f aca="false">IF($E112="","",ROUND($E112*Ajustes!$B$4,2))</f>
        <v/>
      </c>
      <c r="H112" s="21" t="str">
        <f aca="false">IF($E112="","",ROUND($E112*N($F112),2))</f>
        <v/>
      </c>
      <c r="I112" s="21" t="str">
        <f aca="false">IF($E112="","",$E112+$G112-$H112)</f>
        <v/>
      </c>
      <c r="J112" s="21" t="str">
        <f aca="false">IF($E112="","",IF(Ajustes!$B$6="Sí",MAX(0,ROUND($E112*Ajustes!$B$5-$H112,2)),0))</f>
        <v/>
      </c>
      <c r="K112" s="21" t="str">
        <f aca="false">IF($E112="","",$G112+$J112)</f>
        <v/>
      </c>
      <c r="L112" s="21" t="str">
        <f aca="false">IF($E112="","",$I112-$K112)</f>
        <v/>
      </c>
      <c r="M112" s="22" t="str">
        <f aca="false">IF($A112="","",YEAR($A112))</f>
        <v/>
      </c>
      <c r="N112" s="22" t="str">
        <f aca="false">IF($A112="","",ROUNDUP(MONTH($A112)/3,0))</f>
        <v/>
      </c>
    </row>
    <row r="113" customFormat="false" ht="15" hidden="false" customHeight="false" outlineLevel="0" collapsed="false">
      <c r="A113" s="18"/>
      <c r="B113" s="19"/>
      <c r="C113" s="19"/>
      <c r="D113" s="19"/>
      <c r="E113" s="14"/>
      <c r="F113" s="20"/>
      <c r="G113" s="21" t="str">
        <f aca="false">IF($E113="","",ROUND($E113*Ajustes!$B$4,2))</f>
        <v/>
      </c>
      <c r="H113" s="21" t="str">
        <f aca="false">IF($E113="","",ROUND($E113*N($F113),2))</f>
        <v/>
      </c>
      <c r="I113" s="21" t="str">
        <f aca="false">IF($E113="","",$E113+$G113-$H113)</f>
        <v/>
      </c>
      <c r="J113" s="21" t="str">
        <f aca="false">IF($E113="","",IF(Ajustes!$B$6="Sí",MAX(0,ROUND($E113*Ajustes!$B$5-$H113,2)),0))</f>
        <v/>
      </c>
      <c r="K113" s="21" t="str">
        <f aca="false">IF($E113="","",$G113+$J113)</f>
        <v/>
      </c>
      <c r="L113" s="21" t="str">
        <f aca="false">IF($E113="","",$I113-$K113)</f>
        <v/>
      </c>
      <c r="M113" s="22" t="str">
        <f aca="false">IF($A113="","",YEAR($A113))</f>
        <v/>
      </c>
      <c r="N113" s="22" t="str">
        <f aca="false">IF($A113="","",ROUNDUP(MONTH($A113)/3,0))</f>
        <v/>
      </c>
    </row>
    <row r="114" customFormat="false" ht="15" hidden="false" customHeight="false" outlineLevel="0" collapsed="false">
      <c r="A114" s="18"/>
      <c r="B114" s="19"/>
      <c r="C114" s="19"/>
      <c r="D114" s="19"/>
      <c r="E114" s="14"/>
      <c r="F114" s="20"/>
      <c r="G114" s="21" t="str">
        <f aca="false">IF($E114="","",ROUND($E114*Ajustes!$B$4,2))</f>
        <v/>
      </c>
      <c r="H114" s="21" t="str">
        <f aca="false">IF($E114="","",ROUND($E114*N($F114),2))</f>
        <v/>
      </c>
      <c r="I114" s="21" t="str">
        <f aca="false">IF($E114="","",$E114+$G114-$H114)</f>
        <v/>
      </c>
      <c r="J114" s="21" t="str">
        <f aca="false">IF($E114="","",IF(Ajustes!$B$6="Sí",MAX(0,ROUND($E114*Ajustes!$B$5-$H114,2)),0))</f>
        <v/>
      </c>
      <c r="K114" s="21" t="str">
        <f aca="false">IF($E114="","",$G114+$J114)</f>
        <v/>
      </c>
      <c r="L114" s="21" t="str">
        <f aca="false">IF($E114="","",$I114-$K114)</f>
        <v/>
      </c>
      <c r="M114" s="22" t="str">
        <f aca="false">IF($A114="","",YEAR($A114))</f>
        <v/>
      </c>
      <c r="N114" s="22" t="str">
        <f aca="false">IF($A114="","",ROUNDUP(MONTH($A114)/3,0))</f>
        <v/>
      </c>
    </row>
    <row r="115" customFormat="false" ht="15" hidden="false" customHeight="false" outlineLevel="0" collapsed="false">
      <c r="A115" s="18"/>
      <c r="B115" s="19"/>
      <c r="C115" s="19"/>
      <c r="D115" s="19"/>
      <c r="E115" s="14"/>
      <c r="F115" s="20"/>
      <c r="G115" s="21" t="str">
        <f aca="false">IF($E115="","",ROUND($E115*Ajustes!$B$4,2))</f>
        <v/>
      </c>
      <c r="H115" s="21" t="str">
        <f aca="false">IF($E115="","",ROUND($E115*N($F115),2))</f>
        <v/>
      </c>
      <c r="I115" s="21" t="str">
        <f aca="false">IF($E115="","",$E115+$G115-$H115)</f>
        <v/>
      </c>
      <c r="J115" s="21" t="str">
        <f aca="false">IF($E115="","",IF(Ajustes!$B$6="Sí",MAX(0,ROUND($E115*Ajustes!$B$5-$H115,2)),0))</f>
        <v/>
      </c>
      <c r="K115" s="21" t="str">
        <f aca="false">IF($E115="","",$G115+$J115)</f>
        <v/>
      </c>
      <c r="L115" s="21" t="str">
        <f aca="false">IF($E115="","",$I115-$K115)</f>
        <v/>
      </c>
      <c r="M115" s="22" t="str">
        <f aca="false">IF($A115="","",YEAR($A115))</f>
        <v/>
      </c>
      <c r="N115" s="22" t="str">
        <f aca="false">IF($A115="","",ROUNDUP(MONTH($A115)/3,0))</f>
        <v/>
      </c>
    </row>
    <row r="116" customFormat="false" ht="15" hidden="false" customHeight="false" outlineLevel="0" collapsed="false">
      <c r="A116" s="18"/>
      <c r="B116" s="19"/>
      <c r="C116" s="19"/>
      <c r="D116" s="19"/>
      <c r="E116" s="14"/>
      <c r="F116" s="20"/>
      <c r="G116" s="21" t="str">
        <f aca="false">IF($E116="","",ROUND($E116*Ajustes!$B$4,2))</f>
        <v/>
      </c>
      <c r="H116" s="21" t="str">
        <f aca="false">IF($E116="","",ROUND($E116*N($F116),2))</f>
        <v/>
      </c>
      <c r="I116" s="21" t="str">
        <f aca="false">IF($E116="","",$E116+$G116-$H116)</f>
        <v/>
      </c>
      <c r="J116" s="21" t="str">
        <f aca="false">IF($E116="","",IF(Ajustes!$B$6="Sí",MAX(0,ROUND($E116*Ajustes!$B$5-$H116,2)),0))</f>
        <v/>
      </c>
      <c r="K116" s="21" t="str">
        <f aca="false">IF($E116="","",$G116+$J116)</f>
        <v/>
      </c>
      <c r="L116" s="21" t="str">
        <f aca="false">IF($E116="","",$I116-$K116)</f>
        <v/>
      </c>
      <c r="M116" s="22" t="str">
        <f aca="false">IF($A116="","",YEAR($A116))</f>
        <v/>
      </c>
      <c r="N116" s="22" t="str">
        <f aca="false">IF($A116="","",ROUNDUP(MONTH($A116)/3,0))</f>
        <v/>
      </c>
    </row>
    <row r="117" customFormat="false" ht="15" hidden="false" customHeight="false" outlineLevel="0" collapsed="false">
      <c r="A117" s="18"/>
      <c r="B117" s="19"/>
      <c r="C117" s="19"/>
      <c r="D117" s="19"/>
      <c r="E117" s="14"/>
      <c r="F117" s="20"/>
      <c r="G117" s="21" t="str">
        <f aca="false">IF($E117="","",ROUND($E117*Ajustes!$B$4,2))</f>
        <v/>
      </c>
      <c r="H117" s="21" t="str">
        <f aca="false">IF($E117="","",ROUND($E117*N($F117),2))</f>
        <v/>
      </c>
      <c r="I117" s="21" t="str">
        <f aca="false">IF($E117="","",$E117+$G117-$H117)</f>
        <v/>
      </c>
      <c r="J117" s="21" t="str">
        <f aca="false">IF($E117="","",IF(Ajustes!$B$6="Sí",MAX(0,ROUND($E117*Ajustes!$B$5-$H117,2)),0))</f>
        <v/>
      </c>
      <c r="K117" s="21" t="str">
        <f aca="false">IF($E117="","",$G117+$J117)</f>
        <v/>
      </c>
      <c r="L117" s="21" t="str">
        <f aca="false">IF($E117="","",$I117-$K117)</f>
        <v/>
      </c>
      <c r="M117" s="22" t="str">
        <f aca="false">IF($A117="","",YEAR($A117))</f>
        <v/>
      </c>
      <c r="N117" s="22" t="str">
        <f aca="false">IF($A117="","",ROUNDUP(MONTH($A117)/3,0))</f>
        <v/>
      </c>
    </row>
    <row r="118" customFormat="false" ht="15" hidden="false" customHeight="false" outlineLevel="0" collapsed="false">
      <c r="A118" s="18"/>
      <c r="B118" s="19"/>
      <c r="C118" s="19"/>
      <c r="D118" s="19"/>
      <c r="E118" s="14"/>
      <c r="F118" s="20"/>
      <c r="G118" s="21" t="str">
        <f aca="false">IF($E118="","",ROUND($E118*Ajustes!$B$4,2))</f>
        <v/>
      </c>
      <c r="H118" s="21" t="str">
        <f aca="false">IF($E118="","",ROUND($E118*N($F118),2))</f>
        <v/>
      </c>
      <c r="I118" s="21" t="str">
        <f aca="false">IF($E118="","",$E118+$G118-$H118)</f>
        <v/>
      </c>
      <c r="J118" s="21" t="str">
        <f aca="false">IF($E118="","",IF(Ajustes!$B$6="Sí",MAX(0,ROUND($E118*Ajustes!$B$5-$H118,2)),0))</f>
        <v/>
      </c>
      <c r="K118" s="21" t="str">
        <f aca="false">IF($E118="","",$G118+$J118)</f>
        <v/>
      </c>
      <c r="L118" s="21" t="str">
        <f aca="false">IF($E118="","",$I118-$K118)</f>
        <v/>
      </c>
      <c r="M118" s="22" t="str">
        <f aca="false">IF($A118="","",YEAR($A118))</f>
        <v/>
      </c>
      <c r="N118" s="22" t="str">
        <f aca="false">IF($A118="","",ROUNDUP(MONTH($A118)/3,0))</f>
        <v/>
      </c>
    </row>
    <row r="119" customFormat="false" ht="15" hidden="false" customHeight="false" outlineLevel="0" collapsed="false">
      <c r="A119" s="18"/>
      <c r="B119" s="19"/>
      <c r="C119" s="19"/>
      <c r="D119" s="19"/>
      <c r="E119" s="14"/>
      <c r="F119" s="20"/>
      <c r="G119" s="21" t="str">
        <f aca="false">IF($E119="","",ROUND($E119*Ajustes!$B$4,2))</f>
        <v/>
      </c>
      <c r="H119" s="21" t="str">
        <f aca="false">IF($E119="","",ROUND($E119*N($F119),2))</f>
        <v/>
      </c>
      <c r="I119" s="21" t="str">
        <f aca="false">IF($E119="","",$E119+$G119-$H119)</f>
        <v/>
      </c>
      <c r="J119" s="21" t="str">
        <f aca="false">IF($E119="","",IF(Ajustes!$B$6="Sí",MAX(0,ROUND($E119*Ajustes!$B$5-$H119,2)),0))</f>
        <v/>
      </c>
      <c r="K119" s="21" t="str">
        <f aca="false">IF($E119="","",$G119+$J119)</f>
        <v/>
      </c>
      <c r="L119" s="21" t="str">
        <f aca="false">IF($E119="","",$I119-$K119)</f>
        <v/>
      </c>
      <c r="M119" s="22" t="str">
        <f aca="false">IF($A119="","",YEAR($A119))</f>
        <v/>
      </c>
      <c r="N119" s="22" t="str">
        <f aca="false">IF($A119="","",ROUNDUP(MONTH($A119)/3,0))</f>
        <v/>
      </c>
    </row>
    <row r="120" customFormat="false" ht="15" hidden="false" customHeight="false" outlineLevel="0" collapsed="false">
      <c r="A120" s="18"/>
      <c r="B120" s="19"/>
      <c r="C120" s="19"/>
      <c r="D120" s="19"/>
      <c r="E120" s="14"/>
      <c r="F120" s="20"/>
      <c r="G120" s="21" t="str">
        <f aca="false">IF($E120="","",ROUND($E120*Ajustes!$B$4,2))</f>
        <v/>
      </c>
      <c r="H120" s="21" t="str">
        <f aca="false">IF($E120="","",ROUND($E120*N($F120),2))</f>
        <v/>
      </c>
      <c r="I120" s="21" t="str">
        <f aca="false">IF($E120="","",$E120+$G120-$H120)</f>
        <v/>
      </c>
      <c r="J120" s="21" t="str">
        <f aca="false">IF($E120="","",IF(Ajustes!$B$6="Sí",MAX(0,ROUND($E120*Ajustes!$B$5-$H120,2)),0))</f>
        <v/>
      </c>
      <c r="K120" s="21" t="str">
        <f aca="false">IF($E120="","",$G120+$J120)</f>
        <v/>
      </c>
      <c r="L120" s="21" t="str">
        <f aca="false">IF($E120="","",$I120-$K120)</f>
        <v/>
      </c>
      <c r="M120" s="22" t="str">
        <f aca="false">IF($A120="","",YEAR($A120))</f>
        <v/>
      </c>
      <c r="N120" s="22" t="str">
        <f aca="false">IF($A120="","",ROUNDUP(MONTH($A120)/3,0))</f>
        <v/>
      </c>
    </row>
    <row r="121" customFormat="false" ht="15" hidden="false" customHeight="false" outlineLevel="0" collapsed="false">
      <c r="A121" s="18"/>
      <c r="B121" s="19"/>
      <c r="C121" s="19"/>
      <c r="D121" s="19"/>
      <c r="E121" s="14"/>
      <c r="F121" s="20"/>
      <c r="G121" s="21" t="str">
        <f aca="false">IF($E121="","",ROUND($E121*Ajustes!$B$4,2))</f>
        <v/>
      </c>
      <c r="H121" s="21" t="str">
        <f aca="false">IF($E121="","",ROUND($E121*N($F121),2))</f>
        <v/>
      </c>
      <c r="I121" s="21" t="str">
        <f aca="false">IF($E121="","",$E121+$G121-$H121)</f>
        <v/>
      </c>
      <c r="J121" s="21" t="str">
        <f aca="false">IF($E121="","",IF(Ajustes!$B$6="Sí",MAX(0,ROUND($E121*Ajustes!$B$5-$H121,2)),0))</f>
        <v/>
      </c>
      <c r="K121" s="21" t="str">
        <f aca="false">IF($E121="","",$G121+$J121)</f>
        <v/>
      </c>
      <c r="L121" s="21" t="str">
        <f aca="false">IF($E121="","",$I121-$K121)</f>
        <v/>
      </c>
      <c r="M121" s="22" t="str">
        <f aca="false">IF($A121="","",YEAR($A121))</f>
        <v/>
      </c>
      <c r="N121" s="22" t="str">
        <f aca="false">IF($A121="","",ROUNDUP(MONTH($A121)/3,0))</f>
        <v/>
      </c>
    </row>
    <row r="122" customFormat="false" ht="15" hidden="false" customHeight="false" outlineLevel="0" collapsed="false">
      <c r="A122" s="18"/>
      <c r="B122" s="19"/>
      <c r="C122" s="19"/>
      <c r="D122" s="19"/>
      <c r="E122" s="14"/>
      <c r="F122" s="20"/>
      <c r="G122" s="21" t="str">
        <f aca="false">IF($E122="","",ROUND($E122*Ajustes!$B$4,2))</f>
        <v/>
      </c>
      <c r="H122" s="21" t="str">
        <f aca="false">IF($E122="","",ROUND($E122*N($F122),2))</f>
        <v/>
      </c>
      <c r="I122" s="21" t="str">
        <f aca="false">IF($E122="","",$E122+$G122-$H122)</f>
        <v/>
      </c>
      <c r="J122" s="21" t="str">
        <f aca="false">IF($E122="","",IF(Ajustes!$B$6="Sí",MAX(0,ROUND($E122*Ajustes!$B$5-$H122,2)),0))</f>
        <v/>
      </c>
      <c r="K122" s="21" t="str">
        <f aca="false">IF($E122="","",$G122+$J122)</f>
        <v/>
      </c>
      <c r="L122" s="21" t="str">
        <f aca="false">IF($E122="","",$I122-$K122)</f>
        <v/>
      </c>
      <c r="M122" s="22" t="str">
        <f aca="false">IF($A122="","",YEAR($A122))</f>
        <v/>
      </c>
      <c r="N122" s="22" t="str">
        <f aca="false">IF($A122="","",ROUNDUP(MONTH($A122)/3,0))</f>
        <v/>
      </c>
    </row>
    <row r="123" customFormat="false" ht="15" hidden="false" customHeight="false" outlineLevel="0" collapsed="false">
      <c r="A123" s="18"/>
      <c r="B123" s="19"/>
      <c r="C123" s="19"/>
      <c r="D123" s="19"/>
      <c r="E123" s="14"/>
      <c r="F123" s="20"/>
      <c r="G123" s="21" t="str">
        <f aca="false">IF($E123="","",ROUND($E123*Ajustes!$B$4,2))</f>
        <v/>
      </c>
      <c r="H123" s="21" t="str">
        <f aca="false">IF($E123="","",ROUND($E123*N($F123),2))</f>
        <v/>
      </c>
      <c r="I123" s="21" t="str">
        <f aca="false">IF($E123="","",$E123+$G123-$H123)</f>
        <v/>
      </c>
      <c r="J123" s="21" t="str">
        <f aca="false">IF($E123="","",IF(Ajustes!$B$6="Sí",MAX(0,ROUND($E123*Ajustes!$B$5-$H123,2)),0))</f>
        <v/>
      </c>
      <c r="K123" s="21" t="str">
        <f aca="false">IF($E123="","",$G123+$J123)</f>
        <v/>
      </c>
      <c r="L123" s="21" t="str">
        <f aca="false">IF($E123="","",$I123-$K123)</f>
        <v/>
      </c>
      <c r="M123" s="22" t="str">
        <f aca="false">IF($A123="","",YEAR($A123))</f>
        <v/>
      </c>
      <c r="N123" s="22" t="str">
        <f aca="false">IF($A123="","",ROUNDUP(MONTH($A123)/3,0))</f>
        <v/>
      </c>
    </row>
    <row r="124" customFormat="false" ht="15" hidden="false" customHeight="false" outlineLevel="0" collapsed="false">
      <c r="A124" s="18"/>
      <c r="B124" s="19"/>
      <c r="C124" s="19"/>
      <c r="D124" s="19"/>
      <c r="E124" s="14"/>
      <c r="F124" s="20"/>
      <c r="G124" s="21" t="str">
        <f aca="false">IF($E124="","",ROUND($E124*Ajustes!$B$4,2))</f>
        <v/>
      </c>
      <c r="H124" s="21" t="str">
        <f aca="false">IF($E124="","",ROUND($E124*N($F124),2))</f>
        <v/>
      </c>
      <c r="I124" s="21" t="str">
        <f aca="false">IF($E124="","",$E124+$G124-$H124)</f>
        <v/>
      </c>
      <c r="J124" s="21" t="str">
        <f aca="false">IF($E124="","",IF(Ajustes!$B$6="Sí",MAX(0,ROUND($E124*Ajustes!$B$5-$H124,2)),0))</f>
        <v/>
      </c>
      <c r="K124" s="21" t="str">
        <f aca="false">IF($E124="","",$G124+$J124)</f>
        <v/>
      </c>
      <c r="L124" s="21" t="str">
        <f aca="false">IF($E124="","",$I124-$K124)</f>
        <v/>
      </c>
      <c r="M124" s="22" t="str">
        <f aca="false">IF($A124="","",YEAR($A124))</f>
        <v/>
      </c>
      <c r="N124" s="22" t="str">
        <f aca="false">IF($A124="","",ROUNDUP(MONTH($A124)/3,0))</f>
        <v/>
      </c>
    </row>
    <row r="125" customFormat="false" ht="15" hidden="false" customHeight="false" outlineLevel="0" collapsed="false">
      <c r="A125" s="18"/>
      <c r="B125" s="19"/>
      <c r="C125" s="19"/>
      <c r="D125" s="19"/>
      <c r="E125" s="14"/>
      <c r="F125" s="20"/>
      <c r="G125" s="21" t="str">
        <f aca="false">IF($E125="","",ROUND($E125*Ajustes!$B$4,2))</f>
        <v/>
      </c>
      <c r="H125" s="21" t="str">
        <f aca="false">IF($E125="","",ROUND($E125*N($F125),2))</f>
        <v/>
      </c>
      <c r="I125" s="21" t="str">
        <f aca="false">IF($E125="","",$E125+$G125-$H125)</f>
        <v/>
      </c>
      <c r="J125" s="21" t="str">
        <f aca="false">IF($E125="","",IF(Ajustes!$B$6="Sí",MAX(0,ROUND($E125*Ajustes!$B$5-$H125,2)),0))</f>
        <v/>
      </c>
      <c r="K125" s="21" t="str">
        <f aca="false">IF($E125="","",$G125+$J125)</f>
        <v/>
      </c>
      <c r="L125" s="21" t="str">
        <f aca="false">IF($E125="","",$I125-$K125)</f>
        <v/>
      </c>
      <c r="M125" s="22" t="str">
        <f aca="false">IF($A125="","",YEAR($A125))</f>
        <v/>
      </c>
      <c r="N125" s="22" t="str">
        <f aca="false">IF($A125="","",ROUNDUP(MONTH($A125)/3,0))</f>
        <v/>
      </c>
    </row>
    <row r="126" customFormat="false" ht="15" hidden="false" customHeight="false" outlineLevel="0" collapsed="false">
      <c r="A126" s="18"/>
      <c r="B126" s="19"/>
      <c r="C126" s="19"/>
      <c r="D126" s="19"/>
      <c r="E126" s="14"/>
      <c r="F126" s="20"/>
      <c r="G126" s="21" t="str">
        <f aca="false">IF($E126="","",ROUND($E126*Ajustes!$B$4,2))</f>
        <v/>
      </c>
      <c r="H126" s="21" t="str">
        <f aca="false">IF($E126="","",ROUND($E126*N($F126),2))</f>
        <v/>
      </c>
      <c r="I126" s="21" t="str">
        <f aca="false">IF($E126="","",$E126+$G126-$H126)</f>
        <v/>
      </c>
      <c r="J126" s="21" t="str">
        <f aca="false">IF($E126="","",IF(Ajustes!$B$6="Sí",MAX(0,ROUND($E126*Ajustes!$B$5-$H126,2)),0))</f>
        <v/>
      </c>
      <c r="K126" s="21" t="str">
        <f aca="false">IF($E126="","",$G126+$J126)</f>
        <v/>
      </c>
      <c r="L126" s="21" t="str">
        <f aca="false">IF($E126="","",$I126-$K126)</f>
        <v/>
      </c>
      <c r="M126" s="22" t="str">
        <f aca="false">IF($A126="","",YEAR($A126))</f>
        <v/>
      </c>
      <c r="N126" s="22" t="str">
        <f aca="false">IF($A126="","",ROUNDUP(MONTH($A126)/3,0))</f>
        <v/>
      </c>
    </row>
    <row r="127" customFormat="false" ht="15" hidden="false" customHeight="false" outlineLevel="0" collapsed="false">
      <c r="A127" s="18"/>
      <c r="B127" s="19"/>
      <c r="C127" s="19"/>
      <c r="D127" s="19"/>
      <c r="E127" s="14"/>
      <c r="F127" s="20"/>
      <c r="G127" s="21" t="str">
        <f aca="false">IF($E127="","",ROUND($E127*Ajustes!$B$4,2))</f>
        <v/>
      </c>
      <c r="H127" s="21" t="str">
        <f aca="false">IF($E127="","",ROUND($E127*N($F127),2))</f>
        <v/>
      </c>
      <c r="I127" s="21" t="str">
        <f aca="false">IF($E127="","",$E127+$G127-$H127)</f>
        <v/>
      </c>
      <c r="J127" s="21" t="str">
        <f aca="false">IF($E127="","",IF(Ajustes!$B$6="Sí",MAX(0,ROUND($E127*Ajustes!$B$5-$H127,2)),0))</f>
        <v/>
      </c>
      <c r="K127" s="21" t="str">
        <f aca="false">IF($E127="","",$G127+$J127)</f>
        <v/>
      </c>
      <c r="L127" s="21" t="str">
        <f aca="false">IF($E127="","",$I127-$K127)</f>
        <v/>
      </c>
      <c r="M127" s="22" t="str">
        <f aca="false">IF($A127="","",YEAR($A127))</f>
        <v/>
      </c>
      <c r="N127" s="22" t="str">
        <f aca="false">IF($A127="","",ROUNDUP(MONTH($A127)/3,0))</f>
        <v/>
      </c>
    </row>
    <row r="128" customFormat="false" ht="15" hidden="false" customHeight="false" outlineLevel="0" collapsed="false">
      <c r="A128" s="18"/>
      <c r="B128" s="19"/>
      <c r="C128" s="19"/>
      <c r="D128" s="19"/>
      <c r="E128" s="14"/>
      <c r="F128" s="20"/>
      <c r="G128" s="21" t="str">
        <f aca="false">IF($E128="","",ROUND($E128*Ajustes!$B$4,2))</f>
        <v/>
      </c>
      <c r="H128" s="21" t="str">
        <f aca="false">IF($E128="","",ROUND($E128*N($F128),2))</f>
        <v/>
      </c>
      <c r="I128" s="21" t="str">
        <f aca="false">IF($E128="","",$E128+$G128-$H128)</f>
        <v/>
      </c>
      <c r="J128" s="21" t="str">
        <f aca="false">IF($E128="","",IF(Ajustes!$B$6="Sí",MAX(0,ROUND($E128*Ajustes!$B$5-$H128,2)),0))</f>
        <v/>
      </c>
      <c r="K128" s="21" t="str">
        <f aca="false">IF($E128="","",$G128+$J128)</f>
        <v/>
      </c>
      <c r="L128" s="21" t="str">
        <f aca="false">IF($E128="","",$I128-$K128)</f>
        <v/>
      </c>
      <c r="M128" s="22" t="str">
        <f aca="false">IF($A128="","",YEAR($A128))</f>
        <v/>
      </c>
      <c r="N128" s="22" t="str">
        <f aca="false">IF($A128="","",ROUNDUP(MONTH($A128)/3,0))</f>
        <v/>
      </c>
    </row>
    <row r="129" customFormat="false" ht="15" hidden="false" customHeight="false" outlineLevel="0" collapsed="false">
      <c r="A129" s="18"/>
      <c r="B129" s="19"/>
      <c r="C129" s="19"/>
      <c r="D129" s="19"/>
      <c r="E129" s="14"/>
      <c r="F129" s="20"/>
      <c r="G129" s="21" t="str">
        <f aca="false">IF($E129="","",ROUND($E129*Ajustes!$B$4,2))</f>
        <v/>
      </c>
      <c r="H129" s="21" t="str">
        <f aca="false">IF($E129="","",ROUND($E129*N($F129),2))</f>
        <v/>
      </c>
      <c r="I129" s="21" t="str">
        <f aca="false">IF($E129="","",$E129+$G129-$H129)</f>
        <v/>
      </c>
      <c r="J129" s="21" t="str">
        <f aca="false">IF($E129="","",IF(Ajustes!$B$6="Sí",MAX(0,ROUND($E129*Ajustes!$B$5-$H129,2)),0))</f>
        <v/>
      </c>
      <c r="K129" s="21" t="str">
        <f aca="false">IF($E129="","",$G129+$J129)</f>
        <v/>
      </c>
      <c r="L129" s="21" t="str">
        <f aca="false">IF($E129="","",$I129-$K129)</f>
        <v/>
      </c>
      <c r="M129" s="22" t="str">
        <f aca="false">IF($A129="","",YEAR($A129))</f>
        <v/>
      </c>
      <c r="N129" s="22" t="str">
        <f aca="false">IF($A129="","",ROUNDUP(MONTH($A129)/3,0))</f>
        <v/>
      </c>
    </row>
    <row r="130" customFormat="false" ht="15" hidden="false" customHeight="false" outlineLevel="0" collapsed="false">
      <c r="A130" s="18"/>
      <c r="B130" s="19"/>
      <c r="C130" s="19"/>
      <c r="D130" s="19"/>
      <c r="E130" s="14"/>
      <c r="F130" s="20"/>
      <c r="G130" s="21" t="str">
        <f aca="false">IF($E130="","",ROUND($E130*Ajustes!$B$4,2))</f>
        <v/>
      </c>
      <c r="H130" s="21" t="str">
        <f aca="false">IF($E130="","",ROUND($E130*N($F130),2))</f>
        <v/>
      </c>
      <c r="I130" s="21" t="str">
        <f aca="false">IF($E130="","",$E130+$G130-$H130)</f>
        <v/>
      </c>
      <c r="J130" s="21" t="str">
        <f aca="false">IF($E130="","",IF(Ajustes!$B$6="Sí",MAX(0,ROUND($E130*Ajustes!$B$5-$H130,2)),0))</f>
        <v/>
      </c>
      <c r="K130" s="21" t="str">
        <f aca="false">IF($E130="","",$G130+$J130)</f>
        <v/>
      </c>
      <c r="L130" s="21" t="str">
        <f aca="false">IF($E130="","",$I130-$K130)</f>
        <v/>
      </c>
      <c r="M130" s="22" t="str">
        <f aca="false">IF($A130="","",YEAR($A130))</f>
        <v/>
      </c>
      <c r="N130" s="22" t="str">
        <f aca="false">IF($A130="","",ROUNDUP(MONTH($A130)/3,0))</f>
        <v/>
      </c>
    </row>
    <row r="131" customFormat="false" ht="15" hidden="false" customHeight="false" outlineLevel="0" collapsed="false">
      <c r="A131" s="18"/>
      <c r="B131" s="19"/>
      <c r="C131" s="19"/>
      <c r="D131" s="19"/>
      <c r="E131" s="14"/>
      <c r="F131" s="20"/>
      <c r="G131" s="21" t="str">
        <f aca="false">IF($E131="","",ROUND($E131*Ajustes!$B$4,2))</f>
        <v/>
      </c>
      <c r="H131" s="21" t="str">
        <f aca="false">IF($E131="","",ROUND($E131*N($F131),2))</f>
        <v/>
      </c>
      <c r="I131" s="21" t="str">
        <f aca="false">IF($E131="","",$E131+$G131-$H131)</f>
        <v/>
      </c>
      <c r="J131" s="21" t="str">
        <f aca="false">IF($E131="","",IF(Ajustes!$B$6="Sí",MAX(0,ROUND($E131*Ajustes!$B$5-$H131,2)),0))</f>
        <v/>
      </c>
      <c r="K131" s="21" t="str">
        <f aca="false">IF($E131="","",$G131+$J131)</f>
        <v/>
      </c>
      <c r="L131" s="21" t="str">
        <f aca="false">IF($E131="","",$I131-$K131)</f>
        <v/>
      </c>
      <c r="M131" s="22" t="str">
        <f aca="false">IF($A131="","",YEAR($A131))</f>
        <v/>
      </c>
      <c r="N131" s="22" t="str">
        <f aca="false">IF($A131="","",ROUNDUP(MONTH($A131)/3,0))</f>
        <v/>
      </c>
    </row>
    <row r="132" customFormat="false" ht="15" hidden="false" customHeight="false" outlineLevel="0" collapsed="false">
      <c r="A132" s="18"/>
      <c r="B132" s="19"/>
      <c r="C132" s="19"/>
      <c r="D132" s="19"/>
      <c r="E132" s="14"/>
      <c r="F132" s="20"/>
      <c r="G132" s="21" t="str">
        <f aca="false">IF($E132="","",ROUND($E132*Ajustes!$B$4,2))</f>
        <v/>
      </c>
      <c r="H132" s="21" t="str">
        <f aca="false">IF($E132="","",ROUND($E132*N($F132),2))</f>
        <v/>
      </c>
      <c r="I132" s="21" t="str">
        <f aca="false">IF($E132="","",$E132+$G132-$H132)</f>
        <v/>
      </c>
      <c r="J132" s="21" t="str">
        <f aca="false">IF($E132="","",IF(Ajustes!$B$6="Sí",MAX(0,ROUND($E132*Ajustes!$B$5-$H132,2)),0))</f>
        <v/>
      </c>
      <c r="K132" s="21" t="str">
        <f aca="false">IF($E132="","",$G132+$J132)</f>
        <v/>
      </c>
      <c r="L132" s="21" t="str">
        <f aca="false">IF($E132="","",$I132-$K132)</f>
        <v/>
      </c>
      <c r="M132" s="22" t="str">
        <f aca="false">IF($A132="","",YEAR($A132))</f>
        <v/>
      </c>
      <c r="N132" s="22" t="str">
        <f aca="false">IF($A132="","",ROUNDUP(MONTH($A132)/3,0))</f>
        <v/>
      </c>
    </row>
    <row r="133" customFormat="false" ht="15" hidden="false" customHeight="false" outlineLevel="0" collapsed="false">
      <c r="A133" s="18"/>
      <c r="B133" s="19"/>
      <c r="C133" s="19"/>
      <c r="D133" s="19"/>
      <c r="E133" s="14"/>
      <c r="F133" s="20"/>
      <c r="G133" s="21" t="str">
        <f aca="false">IF($E133="","",ROUND($E133*Ajustes!$B$4,2))</f>
        <v/>
      </c>
      <c r="H133" s="21" t="str">
        <f aca="false">IF($E133="","",ROUND($E133*N($F133),2))</f>
        <v/>
      </c>
      <c r="I133" s="21" t="str">
        <f aca="false">IF($E133="","",$E133+$G133-$H133)</f>
        <v/>
      </c>
      <c r="J133" s="21" t="str">
        <f aca="false">IF($E133="","",IF(Ajustes!$B$6="Sí",MAX(0,ROUND($E133*Ajustes!$B$5-$H133,2)),0))</f>
        <v/>
      </c>
      <c r="K133" s="21" t="str">
        <f aca="false">IF($E133="","",$G133+$J133)</f>
        <v/>
      </c>
      <c r="L133" s="21" t="str">
        <f aca="false">IF($E133="","",$I133-$K133)</f>
        <v/>
      </c>
      <c r="M133" s="22" t="str">
        <f aca="false">IF($A133="","",YEAR($A133))</f>
        <v/>
      </c>
      <c r="N133" s="22" t="str">
        <f aca="false">IF($A133="","",ROUNDUP(MONTH($A133)/3,0))</f>
        <v/>
      </c>
    </row>
    <row r="134" customFormat="false" ht="15" hidden="false" customHeight="false" outlineLevel="0" collapsed="false">
      <c r="A134" s="18"/>
      <c r="B134" s="19"/>
      <c r="C134" s="19"/>
      <c r="D134" s="19"/>
      <c r="E134" s="14"/>
      <c r="F134" s="20"/>
      <c r="G134" s="21" t="str">
        <f aca="false">IF($E134="","",ROUND($E134*Ajustes!$B$4,2))</f>
        <v/>
      </c>
      <c r="H134" s="21" t="str">
        <f aca="false">IF($E134="","",ROUND($E134*N($F134),2))</f>
        <v/>
      </c>
      <c r="I134" s="21" t="str">
        <f aca="false">IF($E134="","",$E134+$G134-$H134)</f>
        <v/>
      </c>
      <c r="J134" s="21" t="str">
        <f aca="false">IF($E134="","",IF(Ajustes!$B$6="Sí",MAX(0,ROUND($E134*Ajustes!$B$5-$H134,2)),0))</f>
        <v/>
      </c>
      <c r="K134" s="21" t="str">
        <f aca="false">IF($E134="","",$G134+$J134)</f>
        <v/>
      </c>
      <c r="L134" s="21" t="str">
        <f aca="false">IF($E134="","",$I134-$K134)</f>
        <v/>
      </c>
      <c r="M134" s="22" t="str">
        <f aca="false">IF($A134="","",YEAR($A134))</f>
        <v/>
      </c>
      <c r="N134" s="22" t="str">
        <f aca="false">IF($A134="","",ROUNDUP(MONTH($A134)/3,0))</f>
        <v/>
      </c>
    </row>
    <row r="135" customFormat="false" ht="15" hidden="false" customHeight="false" outlineLevel="0" collapsed="false">
      <c r="A135" s="18"/>
      <c r="B135" s="19"/>
      <c r="C135" s="19"/>
      <c r="D135" s="19"/>
      <c r="E135" s="14"/>
      <c r="F135" s="20"/>
      <c r="G135" s="21" t="str">
        <f aca="false">IF($E135="","",ROUND($E135*Ajustes!$B$4,2))</f>
        <v/>
      </c>
      <c r="H135" s="21" t="str">
        <f aca="false">IF($E135="","",ROUND($E135*N($F135),2))</f>
        <v/>
      </c>
      <c r="I135" s="21" t="str">
        <f aca="false">IF($E135="","",$E135+$G135-$H135)</f>
        <v/>
      </c>
      <c r="J135" s="21" t="str">
        <f aca="false">IF($E135="","",IF(Ajustes!$B$6="Sí",MAX(0,ROUND($E135*Ajustes!$B$5-$H135,2)),0))</f>
        <v/>
      </c>
      <c r="K135" s="21" t="str">
        <f aca="false">IF($E135="","",$G135+$J135)</f>
        <v/>
      </c>
      <c r="L135" s="21" t="str">
        <f aca="false">IF($E135="","",$I135-$K135)</f>
        <v/>
      </c>
      <c r="M135" s="22" t="str">
        <f aca="false">IF($A135="","",YEAR($A135))</f>
        <v/>
      </c>
      <c r="N135" s="22" t="str">
        <f aca="false">IF($A135="","",ROUNDUP(MONTH($A135)/3,0))</f>
        <v/>
      </c>
    </row>
    <row r="136" customFormat="false" ht="15" hidden="false" customHeight="false" outlineLevel="0" collapsed="false">
      <c r="A136" s="18"/>
      <c r="B136" s="19"/>
      <c r="C136" s="19"/>
      <c r="D136" s="19"/>
      <c r="E136" s="14"/>
      <c r="F136" s="20"/>
      <c r="G136" s="21" t="str">
        <f aca="false">IF($E136="","",ROUND($E136*Ajustes!$B$4,2))</f>
        <v/>
      </c>
      <c r="H136" s="21" t="str">
        <f aca="false">IF($E136="","",ROUND($E136*N($F136),2))</f>
        <v/>
      </c>
      <c r="I136" s="21" t="str">
        <f aca="false">IF($E136="","",$E136+$G136-$H136)</f>
        <v/>
      </c>
      <c r="J136" s="21" t="str">
        <f aca="false">IF($E136="","",IF(Ajustes!$B$6="Sí",MAX(0,ROUND($E136*Ajustes!$B$5-$H136,2)),0))</f>
        <v/>
      </c>
      <c r="K136" s="21" t="str">
        <f aca="false">IF($E136="","",$G136+$J136)</f>
        <v/>
      </c>
      <c r="L136" s="21" t="str">
        <f aca="false">IF($E136="","",$I136-$K136)</f>
        <v/>
      </c>
      <c r="M136" s="22" t="str">
        <f aca="false">IF($A136="","",YEAR($A136))</f>
        <v/>
      </c>
      <c r="N136" s="22" t="str">
        <f aca="false">IF($A136="","",ROUNDUP(MONTH($A136)/3,0))</f>
        <v/>
      </c>
    </row>
    <row r="137" customFormat="false" ht="15" hidden="false" customHeight="false" outlineLevel="0" collapsed="false">
      <c r="A137" s="18"/>
      <c r="B137" s="19"/>
      <c r="C137" s="19"/>
      <c r="D137" s="19"/>
      <c r="E137" s="14"/>
      <c r="F137" s="20"/>
      <c r="G137" s="21" t="str">
        <f aca="false">IF($E137="","",ROUND($E137*Ajustes!$B$4,2))</f>
        <v/>
      </c>
      <c r="H137" s="21" t="str">
        <f aca="false">IF($E137="","",ROUND($E137*N($F137),2))</f>
        <v/>
      </c>
      <c r="I137" s="21" t="str">
        <f aca="false">IF($E137="","",$E137+$G137-$H137)</f>
        <v/>
      </c>
      <c r="J137" s="21" t="str">
        <f aca="false">IF($E137="","",IF(Ajustes!$B$6="Sí",MAX(0,ROUND($E137*Ajustes!$B$5-$H137,2)),0))</f>
        <v/>
      </c>
      <c r="K137" s="21" t="str">
        <f aca="false">IF($E137="","",$G137+$J137)</f>
        <v/>
      </c>
      <c r="L137" s="21" t="str">
        <f aca="false">IF($E137="","",$I137-$K137)</f>
        <v/>
      </c>
      <c r="M137" s="22" t="str">
        <f aca="false">IF($A137="","",YEAR($A137))</f>
        <v/>
      </c>
      <c r="N137" s="22" t="str">
        <f aca="false">IF($A137="","",ROUNDUP(MONTH($A137)/3,0))</f>
        <v/>
      </c>
    </row>
    <row r="138" customFormat="false" ht="15" hidden="false" customHeight="false" outlineLevel="0" collapsed="false">
      <c r="A138" s="18"/>
      <c r="B138" s="19"/>
      <c r="C138" s="19"/>
      <c r="D138" s="19"/>
      <c r="E138" s="14"/>
      <c r="F138" s="20"/>
      <c r="G138" s="21" t="str">
        <f aca="false">IF($E138="","",ROUND($E138*Ajustes!$B$4,2))</f>
        <v/>
      </c>
      <c r="H138" s="21" t="str">
        <f aca="false">IF($E138="","",ROUND($E138*N($F138),2))</f>
        <v/>
      </c>
      <c r="I138" s="21" t="str">
        <f aca="false">IF($E138="","",$E138+$G138-$H138)</f>
        <v/>
      </c>
      <c r="J138" s="21" t="str">
        <f aca="false">IF($E138="","",IF(Ajustes!$B$6="Sí",MAX(0,ROUND($E138*Ajustes!$B$5-$H138,2)),0))</f>
        <v/>
      </c>
      <c r="K138" s="21" t="str">
        <f aca="false">IF($E138="","",$G138+$J138)</f>
        <v/>
      </c>
      <c r="L138" s="21" t="str">
        <f aca="false">IF($E138="","",$I138-$K138)</f>
        <v/>
      </c>
      <c r="M138" s="22" t="str">
        <f aca="false">IF($A138="","",YEAR($A138))</f>
        <v/>
      </c>
      <c r="N138" s="22" t="str">
        <f aca="false">IF($A138="","",ROUNDUP(MONTH($A138)/3,0))</f>
        <v/>
      </c>
    </row>
    <row r="139" customFormat="false" ht="15" hidden="false" customHeight="false" outlineLevel="0" collapsed="false">
      <c r="A139" s="18"/>
      <c r="B139" s="19"/>
      <c r="C139" s="19"/>
      <c r="D139" s="19"/>
      <c r="E139" s="14"/>
      <c r="F139" s="20"/>
      <c r="G139" s="21" t="str">
        <f aca="false">IF($E139="","",ROUND($E139*Ajustes!$B$4,2))</f>
        <v/>
      </c>
      <c r="H139" s="21" t="str">
        <f aca="false">IF($E139="","",ROUND($E139*N($F139),2))</f>
        <v/>
      </c>
      <c r="I139" s="21" t="str">
        <f aca="false">IF($E139="","",$E139+$G139-$H139)</f>
        <v/>
      </c>
      <c r="J139" s="21" t="str">
        <f aca="false">IF($E139="","",IF(Ajustes!$B$6="Sí",MAX(0,ROUND($E139*Ajustes!$B$5-$H139,2)),0))</f>
        <v/>
      </c>
      <c r="K139" s="21" t="str">
        <f aca="false">IF($E139="","",$G139+$J139)</f>
        <v/>
      </c>
      <c r="L139" s="21" t="str">
        <f aca="false">IF($E139="","",$I139-$K139)</f>
        <v/>
      </c>
      <c r="M139" s="22" t="str">
        <f aca="false">IF($A139="","",YEAR($A139))</f>
        <v/>
      </c>
      <c r="N139" s="22" t="str">
        <f aca="false">IF($A139="","",ROUNDUP(MONTH($A139)/3,0))</f>
        <v/>
      </c>
    </row>
    <row r="140" customFormat="false" ht="15" hidden="false" customHeight="false" outlineLevel="0" collapsed="false">
      <c r="A140" s="18"/>
      <c r="B140" s="19"/>
      <c r="C140" s="19"/>
      <c r="D140" s="19"/>
      <c r="E140" s="14"/>
      <c r="F140" s="20"/>
      <c r="G140" s="21" t="str">
        <f aca="false">IF($E140="","",ROUND($E140*Ajustes!$B$4,2))</f>
        <v/>
      </c>
      <c r="H140" s="21" t="str">
        <f aca="false">IF($E140="","",ROUND($E140*N($F140),2))</f>
        <v/>
      </c>
      <c r="I140" s="21" t="str">
        <f aca="false">IF($E140="","",$E140+$G140-$H140)</f>
        <v/>
      </c>
      <c r="J140" s="21" t="str">
        <f aca="false">IF($E140="","",IF(Ajustes!$B$6="Sí",MAX(0,ROUND($E140*Ajustes!$B$5-$H140,2)),0))</f>
        <v/>
      </c>
      <c r="K140" s="21" t="str">
        <f aca="false">IF($E140="","",$G140+$J140)</f>
        <v/>
      </c>
      <c r="L140" s="21" t="str">
        <f aca="false">IF($E140="","",$I140-$K140)</f>
        <v/>
      </c>
      <c r="M140" s="22" t="str">
        <f aca="false">IF($A140="","",YEAR($A140))</f>
        <v/>
      </c>
      <c r="N140" s="22" t="str">
        <f aca="false">IF($A140="","",ROUNDUP(MONTH($A140)/3,0))</f>
        <v/>
      </c>
    </row>
    <row r="141" customFormat="false" ht="15" hidden="false" customHeight="false" outlineLevel="0" collapsed="false">
      <c r="A141" s="18"/>
      <c r="B141" s="19"/>
      <c r="C141" s="19"/>
      <c r="D141" s="19"/>
      <c r="E141" s="14"/>
      <c r="F141" s="20"/>
      <c r="G141" s="21" t="str">
        <f aca="false">IF($E141="","",ROUND($E141*Ajustes!$B$4,2))</f>
        <v/>
      </c>
      <c r="H141" s="21" t="str">
        <f aca="false">IF($E141="","",ROUND($E141*N($F141),2))</f>
        <v/>
      </c>
      <c r="I141" s="21" t="str">
        <f aca="false">IF($E141="","",$E141+$G141-$H141)</f>
        <v/>
      </c>
      <c r="J141" s="21" t="str">
        <f aca="false">IF($E141="","",IF(Ajustes!$B$6="Sí",MAX(0,ROUND($E141*Ajustes!$B$5-$H141,2)),0))</f>
        <v/>
      </c>
      <c r="K141" s="21" t="str">
        <f aca="false">IF($E141="","",$G141+$J141)</f>
        <v/>
      </c>
      <c r="L141" s="21" t="str">
        <f aca="false">IF($E141="","",$I141-$K141)</f>
        <v/>
      </c>
      <c r="M141" s="22" t="str">
        <f aca="false">IF($A141="","",YEAR($A141))</f>
        <v/>
      </c>
      <c r="N141" s="22" t="str">
        <f aca="false">IF($A141="","",ROUNDUP(MONTH($A141)/3,0))</f>
        <v/>
      </c>
    </row>
    <row r="142" customFormat="false" ht="15" hidden="false" customHeight="false" outlineLevel="0" collapsed="false">
      <c r="A142" s="18"/>
      <c r="B142" s="19"/>
      <c r="C142" s="19"/>
      <c r="D142" s="19"/>
      <c r="E142" s="14"/>
      <c r="F142" s="20"/>
      <c r="G142" s="21" t="str">
        <f aca="false">IF($E142="","",ROUND($E142*Ajustes!$B$4,2))</f>
        <v/>
      </c>
      <c r="H142" s="21" t="str">
        <f aca="false">IF($E142="","",ROUND($E142*N($F142),2))</f>
        <v/>
      </c>
      <c r="I142" s="21" t="str">
        <f aca="false">IF($E142="","",$E142+$G142-$H142)</f>
        <v/>
      </c>
      <c r="J142" s="21" t="str">
        <f aca="false">IF($E142="","",IF(Ajustes!$B$6="Sí",MAX(0,ROUND($E142*Ajustes!$B$5-$H142,2)),0))</f>
        <v/>
      </c>
      <c r="K142" s="21" t="str">
        <f aca="false">IF($E142="","",$G142+$J142)</f>
        <v/>
      </c>
      <c r="L142" s="21" t="str">
        <f aca="false">IF($E142="","",$I142-$K142)</f>
        <v/>
      </c>
      <c r="M142" s="22" t="str">
        <f aca="false">IF($A142="","",YEAR($A142))</f>
        <v/>
      </c>
      <c r="N142" s="22" t="str">
        <f aca="false">IF($A142="","",ROUNDUP(MONTH($A142)/3,0))</f>
        <v/>
      </c>
    </row>
    <row r="143" customFormat="false" ht="15" hidden="false" customHeight="false" outlineLevel="0" collapsed="false">
      <c r="A143" s="18"/>
      <c r="B143" s="19"/>
      <c r="C143" s="19"/>
      <c r="D143" s="19"/>
      <c r="E143" s="14"/>
      <c r="F143" s="20"/>
      <c r="G143" s="21" t="str">
        <f aca="false">IF($E143="","",ROUND($E143*Ajustes!$B$4,2))</f>
        <v/>
      </c>
      <c r="H143" s="21" t="str">
        <f aca="false">IF($E143="","",ROUND($E143*N($F143),2))</f>
        <v/>
      </c>
      <c r="I143" s="21" t="str">
        <f aca="false">IF($E143="","",$E143+$G143-$H143)</f>
        <v/>
      </c>
      <c r="J143" s="21" t="str">
        <f aca="false">IF($E143="","",IF(Ajustes!$B$6="Sí",MAX(0,ROUND($E143*Ajustes!$B$5-$H143,2)),0))</f>
        <v/>
      </c>
      <c r="K143" s="21" t="str">
        <f aca="false">IF($E143="","",$G143+$J143)</f>
        <v/>
      </c>
      <c r="L143" s="21" t="str">
        <f aca="false">IF($E143="","",$I143-$K143)</f>
        <v/>
      </c>
      <c r="M143" s="22" t="str">
        <f aca="false">IF($A143="","",YEAR($A143))</f>
        <v/>
      </c>
      <c r="N143" s="22" t="str">
        <f aca="false">IF($A143="","",ROUNDUP(MONTH($A143)/3,0))</f>
        <v/>
      </c>
    </row>
    <row r="144" customFormat="false" ht="15" hidden="false" customHeight="false" outlineLevel="0" collapsed="false">
      <c r="A144" s="18"/>
      <c r="B144" s="19"/>
      <c r="C144" s="19"/>
      <c r="D144" s="19"/>
      <c r="E144" s="14"/>
      <c r="F144" s="20"/>
      <c r="G144" s="21" t="str">
        <f aca="false">IF($E144="","",ROUND($E144*Ajustes!$B$4,2))</f>
        <v/>
      </c>
      <c r="H144" s="21" t="str">
        <f aca="false">IF($E144="","",ROUND($E144*N($F144),2))</f>
        <v/>
      </c>
      <c r="I144" s="21" t="str">
        <f aca="false">IF($E144="","",$E144+$G144-$H144)</f>
        <v/>
      </c>
      <c r="J144" s="21" t="str">
        <f aca="false">IF($E144="","",IF(Ajustes!$B$6="Sí",MAX(0,ROUND($E144*Ajustes!$B$5-$H144,2)),0))</f>
        <v/>
      </c>
      <c r="K144" s="21" t="str">
        <f aca="false">IF($E144="","",$G144+$J144)</f>
        <v/>
      </c>
      <c r="L144" s="21" t="str">
        <f aca="false">IF($E144="","",$I144-$K144)</f>
        <v/>
      </c>
      <c r="M144" s="22" t="str">
        <f aca="false">IF($A144="","",YEAR($A144))</f>
        <v/>
      </c>
      <c r="N144" s="22" t="str">
        <f aca="false">IF($A144="","",ROUNDUP(MONTH($A144)/3,0))</f>
        <v/>
      </c>
    </row>
    <row r="145" customFormat="false" ht="15" hidden="false" customHeight="false" outlineLevel="0" collapsed="false">
      <c r="A145" s="18"/>
      <c r="B145" s="19"/>
      <c r="C145" s="19"/>
      <c r="D145" s="19"/>
      <c r="E145" s="14"/>
      <c r="F145" s="20"/>
      <c r="G145" s="21" t="str">
        <f aca="false">IF($E145="","",ROUND($E145*Ajustes!$B$4,2))</f>
        <v/>
      </c>
      <c r="H145" s="21" t="str">
        <f aca="false">IF($E145="","",ROUND($E145*N($F145),2))</f>
        <v/>
      </c>
      <c r="I145" s="21" t="str">
        <f aca="false">IF($E145="","",$E145+$G145-$H145)</f>
        <v/>
      </c>
      <c r="J145" s="21" t="str">
        <f aca="false">IF($E145="","",IF(Ajustes!$B$6="Sí",MAX(0,ROUND($E145*Ajustes!$B$5-$H145,2)),0))</f>
        <v/>
      </c>
      <c r="K145" s="21" t="str">
        <f aca="false">IF($E145="","",$G145+$J145)</f>
        <v/>
      </c>
      <c r="L145" s="21" t="str">
        <f aca="false">IF($E145="","",$I145-$K145)</f>
        <v/>
      </c>
      <c r="M145" s="22" t="str">
        <f aca="false">IF($A145="","",YEAR($A145))</f>
        <v/>
      </c>
      <c r="N145" s="22" t="str">
        <f aca="false">IF($A145="","",ROUNDUP(MONTH($A145)/3,0))</f>
        <v/>
      </c>
    </row>
    <row r="146" customFormat="false" ht="15" hidden="false" customHeight="false" outlineLevel="0" collapsed="false">
      <c r="A146" s="18"/>
      <c r="B146" s="19"/>
      <c r="C146" s="19"/>
      <c r="D146" s="19"/>
      <c r="E146" s="14"/>
      <c r="F146" s="20"/>
      <c r="G146" s="21" t="str">
        <f aca="false">IF($E146="","",ROUND($E146*Ajustes!$B$4,2))</f>
        <v/>
      </c>
      <c r="H146" s="21" t="str">
        <f aca="false">IF($E146="","",ROUND($E146*N($F146),2))</f>
        <v/>
      </c>
      <c r="I146" s="21" t="str">
        <f aca="false">IF($E146="","",$E146+$G146-$H146)</f>
        <v/>
      </c>
      <c r="J146" s="21" t="str">
        <f aca="false">IF($E146="","",IF(Ajustes!$B$6="Sí",MAX(0,ROUND($E146*Ajustes!$B$5-$H146,2)),0))</f>
        <v/>
      </c>
      <c r="K146" s="21" t="str">
        <f aca="false">IF($E146="","",$G146+$J146)</f>
        <v/>
      </c>
      <c r="L146" s="21" t="str">
        <f aca="false">IF($E146="","",$I146-$K146)</f>
        <v/>
      </c>
      <c r="M146" s="22" t="str">
        <f aca="false">IF($A146="","",YEAR($A146))</f>
        <v/>
      </c>
      <c r="N146" s="22" t="str">
        <f aca="false">IF($A146="","",ROUNDUP(MONTH($A146)/3,0))</f>
        <v/>
      </c>
    </row>
    <row r="147" customFormat="false" ht="15" hidden="false" customHeight="false" outlineLevel="0" collapsed="false">
      <c r="A147" s="18"/>
      <c r="B147" s="19"/>
      <c r="C147" s="19"/>
      <c r="D147" s="19"/>
      <c r="E147" s="14"/>
      <c r="F147" s="20"/>
      <c r="G147" s="21" t="str">
        <f aca="false">IF($E147="","",ROUND($E147*Ajustes!$B$4,2))</f>
        <v/>
      </c>
      <c r="H147" s="21" t="str">
        <f aca="false">IF($E147="","",ROUND($E147*N($F147),2))</f>
        <v/>
      </c>
      <c r="I147" s="21" t="str">
        <f aca="false">IF($E147="","",$E147+$G147-$H147)</f>
        <v/>
      </c>
      <c r="J147" s="21" t="str">
        <f aca="false">IF($E147="","",IF(Ajustes!$B$6="Sí",MAX(0,ROUND($E147*Ajustes!$B$5-$H147,2)),0))</f>
        <v/>
      </c>
      <c r="K147" s="21" t="str">
        <f aca="false">IF($E147="","",$G147+$J147)</f>
        <v/>
      </c>
      <c r="L147" s="21" t="str">
        <f aca="false">IF($E147="","",$I147-$K147)</f>
        <v/>
      </c>
      <c r="M147" s="22" t="str">
        <f aca="false">IF($A147="","",YEAR($A147))</f>
        <v/>
      </c>
      <c r="N147" s="22" t="str">
        <f aca="false">IF($A147="","",ROUNDUP(MONTH($A147)/3,0))</f>
        <v/>
      </c>
    </row>
    <row r="148" customFormat="false" ht="15" hidden="false" customHeight="false" outlineLevel="0" collapsed="false">
      <c r="A148" s="18"/>
      <c r="B148" s="19"/>
      <c r="C148" s="19"/>
      <c r="D148" s="19"/>
      <c r="E148" s="14"/>
      <c r="F148" s="20"/>
      <c r="G148" s="21" t="str">
        <f aca="false">IF($E148="","",ROUND($E148*Ajustes!$B$4,2))</f>
        <v/>
      </c>
      <c r="H148" s="21" t="str">
        <f aca="false">IF($E148="","",ROUND($E148*N($F148),2))</f>
        <v/>
      </c>
      <c r="I148" s="21" t="str">
        <f aca="false">IF($E148="","",$E148+$G148-$H148)</f>
        <v/>
      </c>
      <c r="J148" s="21" t="str">
        <f aca="false">IF($E148="","",IF(Ajustes!$B$6="Sí",MAX(0,ROUND($E148*Ajustes!$B$5-$H148,2)),0))</f>
        <v/>
      </c>
      <c r="K148" s="21" t="str">
        <f aca="false">IF($E148="","",$G148+$J148)</f>
        <v/>
      </c>
      <c r="L148" s="21" t="str">
        <f aca="false">IF($E148="","",$I148-$K148)</f>
        <v/>
      </c>
      <c r="M148" s="22" t="str">
        <f aca="false">IF($A148="","",YEAR($A148))</f>
        <v/>
      </c>
      <c r="N148" s="22" t="str">
        <f aca="false">IF($A148="","",ROUNDUP(MONTH($A148)/3,0))</f>
        <v/>
      </c>
    </row>
    <row r="149" customFormat="false" ht="15" hidden="false" customHeight="false" outlineLevel="0" collapsed="false">
      <c r="A149" s="18"/>
      <c r="B149" s="19"/>
      <c r="C149" s="19"/>
      <c r="D149" s="19"/>
      <c r="E149" s="14"/>
      <c r="F149" s="20"/>
      <c r="G149" s="21" t="str">
        <f aca="false">IF($E149="","",ROUND($E149*Ajustes!$B$4,2))</f>
        <v/>
      </c>
      <c r="H149" s="21" t="str">
        <f aca="false">IF($E149="","",ROUND($E149*N($F149),2))</f>
        <v/>
      </c>
      <c r="I149" s="21" t="str">
        <f aca="false">IF($E149="","",$E149+$G149-$H149)</f>
        <v/>
      </c>
      <c r="J149" s="21" t="str">
        <f aca="false">IF($E149="","",IF(Ajustes!$B$6="Sí",MAX(0,ROUND($E149*Ajustes!$B$5-$H149,2)),0))</f>
        <v/>
      </c>
      <c r="K149" s="21" t="str">
        <f aca="false">IF($E149="","",$G149+$J149)</f>
        <v/>
      </c>
      <c r="L149" s="21" t="str">
        <f aca="false">IF($E149="","",$I149-$K149)</f>
        <v/>
      </c>
      <c r="M149" s="22" t="str">
        <f aca="false">IF($A149="","",YEAR($A149))</f>
        <v/>
      </c>
      <c r="N149" s="22" t="str">
        <f aca="false">IF($A149="","",ROUNDUP(MONTH($A149)/3,0))</f>
        <v/>
      </c>
    </row>
    <row r="150" customFormat="false" ht="15" hidden="false" customHeight="false" outlineLevel="0" collapsed="false">
      <c r="A150" s="18"/>
      <c r="B150" s="19"/>
      <c r="C150" s="19"/>
      <c r="D150" s="19"/>
      <c r="E150" s="14"/>
      <c r="F150" s="20"/>
      <c r="G150" s="21" t="str">
        <f aca="false">IF($E150="","",ROUND($E150*Ajustes!$B$4,2))</f>
        <v/>
      </c>
      <c r="H150" s="21" t="str">
        <f aca="false">IF($E150="","",ROUND($E150*N($F150),2))</f>
        <v/>
      </c>
      <c r="I150" s="21" t="str">
        <f aca="false">IF($E150="","",$E150+$G150-$H150)</f>
        <v/>
      </c>
      <c r="J150" s="21" t="str">
        <f aca="false">IF($E150="","",IF(Ajustes!$B$6="Sí",MAX(0,ROUND($E150*Ajustes!$B$5-$H150,2)),0))</f>
        <v/>
      </c>
      <c r="K150" s="21" t="str">
        <f aca="false">IF($E150="","",$G150+$J150)</f>
        <v/>
      </c>
      <c r="L150" s="21" t="str">
        <f aca="false">IF($E150="","",$I150-$K150)</f>
        <v/>
      </c>
      <c r="M150" s="22" t="str">
        <f aca="false">IF($A150="","",YEAR($A150))</f>
        <v/>
      </c>
      <c r="N150" s="22" t="str">
        <f aca="false">IF($A150="","",ROUNDUP(MONTH($A150)/3,0))</f>
        <v/>
      </c>
    </row>
    <row r="151" customFormat="false" ht="15" hidden="false" customHeight="false" outlineLevel="0" collapsed="false">
      <c r="A151" s="18"/>
      <c r="B151" s="19"/>
      <c r="C151" s="19"/>
      <c r="D151" s="19"/>
      <c r="E151" s="14"/>
      <c r="F151" s="20"/>
      <c r="G151" s="21" t="str">
        <f aca="false">IF($E151="","",ROUND($E151*Ajustes!$B$4,2))</f>
        <v/>
      </c>
      <c r="H151" s="21" t="str">
        <f aca="false">IF($E151="","",ROUND($E151*N($F151),2))</f>
        <v/>
      </c>
      <c r="I151" s="21" t="str">
        <f aca="false">IF($E151="","",$E151+$G151-$H151)</f>
        <v/>
      </c>
      <c r="J151" s="21" t="str">
        <f aca="false">IF($E151="","",IF(Ajustes!$B$6="Sí",MAX(0,ROUND($E151*Ajustes!$B$5-$H151,2)),0))</f>
        <v/>
      </c>
      <c r="K151" s="21" t="str">
        <f aca="false">IF($E151="","",$G151+$J151)</f>
        <v/>
      </c>
      <c r="L151" s="21" t="str">
        <f aca="false">IF($E151="","",$I151-$K151)</f>
        <v/>
      </c>
      <c r="M151" s="22" t="str">
        <f aca="false">IF($A151="","",YEAR($A151))</f>
        <v/>
      </c>
      <c r="N151" s="22" t="str">
        <f aca="false">IF($A151="","",ROUNDUP(MONTH($A151)/3,0))</f>
        <v/>
      </c>
    </row>
    <row r="152" customFormat="false" ht="15" hidden="false" customHeight="false" outlineLevel="0" collapsed="false">
      <c r="A152" s="18"/>
      <c r="B152" s="19"/>
      <c r="C152" s="19"/>
      <c r="D152" s="19"/>
      <c r="E152" s="14"/>
      <c r="F152" s="20"/>
      <c r="G152" s="21" t="str">
        <f aca="false">IF($E152="","",ROUND($E152*Ajustes!$B$4,2))</f>
        <v/>
      </c>
      <c r="H152" s="21" t="str">
        <f aca="false">IF($E152="","",ROUND($E152*N($F152),2))</f>
        <v/>
      </c>
      <c r="I152" s="21" t="str">
        <f aca="false">IF($E152="","",$E152+$G152-$H152)</f>
        <v/>
      </c>
      <c r="J152" s="21" t="str">
        <f aca="false">IF($E152="","",IF(Ajustes!$B$6="Sí",MAX(0,ROUND($E152*Ajustes!$B$5-$H152,2)),0))</f>
        <v/>
      </c>
      <c r="K152" s="21" t="str">
        <f aca="false">IF($E152="","",$G152+$J152)</f>
        <v/>
      </c>
      <c r="L152" s="21" t="str">
        <f aca="false">IF($E152="","",$I152-$K152)</f>
        <v/>
      </c>
      <c r="M152" s="22" t="str">
        <f aca="false">IF($A152="","",YEAR($A152))</f>
        <v/>
      </c>
      <c r="N152" s="22" t="str">
        <f aca="false">IF($A152="","",ROUNDUP(MONTH($A152)/3,0))</f>
        <v/>
      </c>
    </row>
    <row r="153" customFormat="false" ht="15" hidden="false" customHeight="false" outlineLevel="0" collapsed="false">
      <c r="A153" s="18"/>
      <c r="B153" s="19"/>
      <c r="C153" s="19"/>
      <c r="D153" s="19"/>
      <c r="E153" s="14"/>
      <c r="F153" s="20"/>
      <c r="G153" s="21" t="str">
        <f aca="false">IF($E153="","",ROUND($E153*Ajustes!$B$4,2))</f>
        <v/>
      </c>
      <c r="H153" s="21" t="str">
        <f aca="false">IF($E153="","",ROUND($E153*N($F153),2))</f>
        <v/>
      </c>
      <c r="I153" s="21" t="str">
        <f aca="false">IF($E153="","",$E153+$G153-$H153)</f>
        <v/>
      </c>
      <c r="J153" s="21" t="str">
        <f aca="false">IF($E153="","",IF(Ajustes!$B$6="Sí",MAX(0,ROUND($E153*Ajustes!$B$5-$H153,2)),0))</f>
        <v/>
      </c>
      <c r="K153" s="21" t="str">
        <f aca="false">IF($E153="","",$G153+$J153)</f>
        <v/>
      </c>
      <c r="L153" s="21" t="str">
        <f aca="false">IF($E153="","",$I153-$K153)</f>
        <v/>
      </c>
      <c r="M153" s="22" t="str">
        <f aca="false">IF($A153="","",YEAR($A153))</f>
        <v/>
      </c>
      <c r="N153" s="22" t="str">
        <f aca="false">IF($A153="","",ROUNDUP(MONTH($A153)/3,0))</f>
        <v/>
      </c>
    </row>
    <row r="154" customFormat="false" ht="15" hidden="false" customHeight="false" outlineLevel="0" collapsed="false">
      <c r="A154" s="18"/>
      <c r="B154" s="19"/>
      <c r="C154" s="19"/>
      <c r="D154" s="19"/>
      <c r="E154" s="14"/>
      <c r="F154" s="20"/>
      <c r="G154" s="21" t="str">
        <f aca="false">IF($E154="","",ROUND($E154*Ajustes!$B$4,2))</f>
        <v/>
      </c>
      <c r="H154" s="21" t="str">
        <f aca="false">IF($E154="","",ROUND($E154*N($F154),2))</f>
        <v/>
      </c>
      <c r="I154" s="21" t="str">
        <f aca="false">IF($E154="","",$E154+$G154-$H154)</f>
        <v/>
      </c>
      <c r="J154" s="21" t="str">
        <f aca="false">IF($E154="","",IF(Ajustes!$B$6="Sí",MAX(0,ROUND($E154*Ajustes!$B$5-$H154,2)),0))</f>
        <v/>
      </c>
      <c r="K154" s="21" t="str">
        <f aca="false">IF($E154="","",$G154+$J154)</f>
        <v/>
      </c>
      <c r="L154" s="21" t="str">
        <f aca="false">IF($E154="","",$I154-$K154)</f>
        <v/>
      </c>
      <c r="M154" s="22" t="str">
        <f aca="false">IF($A154="","",YEAR($A154))</f>
        <v/>
      </c>
      <c r="N154" s="22" t="str">
        <f aca="false">IF($A154="","",ROUNDUP(MONTH($A154)/3,0))</f>
        <v/>
      </c>
    </row>
    <row r="155" customFormat="false" ht="15" hidden="false" customHeight="false" outlineLevel="0" collapsed="false">
      <c r="A155" s="18"/>
      <c r="B155" s="19"/>
      <c r="C155" s="19"/>
      <c r="D155" s="19"/>
      <c r="E155" s="14"/>
      <c r="F155" s="20"/>
      <c r="G155" s="21" t="str">
        <f aca="false">IF($E155="","",ROUND($E155*Ajustes!$B$4,2))</f>
        <v/>
      </c>
      <c r="H155" s="21" t="str">
        <f aca="false">IF($E155="","",ROUND($E155*N($F155),2))</f>
        <v/>
      </c>
      <c r="I155" s="21" t="str">
        <f aca="false">IF($E155="","",$E155+$G155-$H155)</f>
        <v/>
      </c>
      <c r="J155" s="21" t="str">
        <f aca="false">IF($E155="","",IF(Ajustes!$B$6="Sí",MAX(0,ROUND($E155*Ajustes!$B$5-$H155,2)),0))</f>
        <v/>
      </c>
      <c r="K155" s="21" t="str">
        <f aca="false">IF($E155="","",$G155+$J155)</f>
        <v/>
      </c>
      <c r="L155" s="21" t="str">
        <f aca="false">IF($E155="","",$I155-$K155)</f>
        <v/>
      </c>
      <c r="M155" s="22" t="str">
        <f aca="false">IF($A155="","",YEAR($A155))</f>
        <v/>
      </c>
      <c r="N155" s="22" t="str">
        <f aca="false">IF($A155="","",ROUNDUP(MONTH($A155)/3,0))</f>
        <v/>
      </c>
    </row>
    <row r="156" customFormat="false" ht="15" hidden="false" customHeight="false" outlineLevel="0" collapsed="false">
      <c r="A156" s="18"/>
      <c r="B156" s="19"/>
      <c r="C156" s="19"/>
      <c r="D156" s="19"/>
      <c r="E156" s="14"/>
      <c r="F156" s="20"/>
      <c r="G156" s="21" t="str">
        <f aca="false">IF($E156="","",ROUND($E156*Ajustes!$B$4,2))</f>
        <v/>
      </c>
      <c r="H156" s="21" t="str">
        <f aca="false">IF($E156="","",ROUND($E156*N($F156),2))</f>
        <v/>
      </c>
      <c r="I156" s="21" t="str">
        <f aca="false">IF($E156="","",$E156+$G156-$H156)</f>
        <v/>
      </c>
      <c r="J156" s="21" t="str">
        <f aca="false">IF($E156="","",IF(Ajustes!$B$6="Sí",MAX(0,ROUND($E156*Ajustes!$B$5-$H156,2)),0))</f>
        <v/>
      </c>
      <c r="K156" s="21" t="str">
        <f aca="false">IF($E156="","",$G156+$J156)</f>
        <v/>
      </c>
      <c r="L156" s="21" t="str">
        <f aca="false">IF($E156="","",$I156-$K156)</f>
        <v/>
      </c>
      <c r="M156" s="22" t="str">
        <f aca="false">IF($A156="","",YEAR($A156))</f>
        <v/>
      </c>
      <c r="N156" s="22" t="str">
        <f aca="false">IF($A156="","",ROUNDUP(MONTH($A156)/3,0))</f>
        <v/>
      </c>
    </row>
    <row r="157" customFormat="false" ht="15" hidden="false" customHeight="false" outlineLevel="0" collapsed="false">
      <c r="A157" s="18"/>
      <c r="B157" s="19"/>
      <c r="C157" s="19"/>
      <c r="D157" s="19"/>
      <c r="E157" s="14"/>
      <c r="F157" s="20"/>
      <c r="G157" s="21" t="str">
        <f aca="false">IF($E157="","",ROUND($E157*Ajustes!$B$4,2))</f>
        <v/>
      </c>
      <c r="H157" s="21" t="str">
        <f aca="false">IF($E157="","",ROUND($E157*N($F157),2))</f>
        <v/>
      </c>
      <c r="I157" s="21" t="str">
        <f aca="false">IF($E157="","",$E157+$G157-$H157)</f>
        <v/>
      </c>
      <c r="J157" s="21" t="str">
        <f aca="false">IF($E157="","",IF(Ajustes!$B$6="Sí",MAX(0,ROUND($E157*Ajustes!$B$5-$H157,2)),0))</f>
        <v/>
      </c>
      <c r="K157" s="21" t="str">
        <f aca="false">IF($E157="","",$G157+$J157)</f>
        <v/>
      </c>
      <c r="L157" s="21" t="str">
        <f aca="false">IF($E157="","",$I157-$K157)</f>
        <v/>
      </c>
      <c r="M157" s="22" t="str">
        <f aca="false">IF($A157="","",YEAR($A157))</f>
        <v/>
      </c>
      <c r="N157" s="22" t="str">
        <f aca="false">IF($A157="","",ROUNDUP(MONTH($A157)/3,0))</f>
        <v/>
      </c>
    </row>
    <row r="158" customFormat="false" ht="15" hidden="false" customHeight="false" outlineLevel="0" collapsed="false">
      <c r="A158" s="18"/>
      <c r="B158" s="19"/>
      <c r="C158" s="19"/>
      <c r="D158" s="19"/>
      <c r="E158" s="14"/>
      <c r="F158" s="20"/>
      <c r="G158" s="21" t="str">
        <f aca="false">IF($E158="","",ROUND($E158*Ajustes!$B$4,2))</f>
        <v/>
      </c>
      <c r="H158" s="21" t="str">
        <f aca="false">IF($E158="","",ROUND($E158*N($F158),2))</f>
        <v/>
      </c>
      <c r="I158" s="21" t="str">
        <f aca="false">IF($E158="","",$E158+$G158-$H158)</f>
        <v/>
      </c>
      <c r="J158" s="21" t="str">
        <f aca="false">IF($E158="","",IF(Ajustes!$B$6="Sí",MAX(0,ROUND($E158*Ajustes!$B$5-$H158,2)),0))</f>
        <v/>
      </c>
      <c r="K158" s="21" t="str">
        <f aca="false">IF($E158="","",$G158+$J158)</f>
        <v/>
      </c>
      <c r="L158" s="21" t="str">
        <f aca="false">IF($E158="","",$I158-$K158)</f>
        <v/>
      </c>
      <c r="M158" s="22" t="str">
        <f aca="false">IF($A158="","",YEAR($A158))</f>
        <v/>
      </c>
      <c r="N158" s="22" t="str">
        <f aca="false">IF($A158="","",ROUNDUP(MONTH($A158)/3,0))</f>
        <v/>
      </c>
    </row>
    <row r="159" customFormat="false" ht="15" hidden="false" customHeight="false" outlineLevel="0" collapsed="false">
      <c r="A159" s="18"/>
      <c r="B159" s="19"/>
      <c r="C159" s="19"/>
      <c r="D159" s="19"/>
      <c r="E159" s="14"/>
      <c r="F159" s="20"/>
      <c r="G159" s="21" t="str">
        <f aca="false">IF($E159="","",ROUND($E159*Ajustes!$B$4,2))</f>
        <v/>
      </c>
      <c r="H159" s="21" t="str">
        <f aca="false">IF($E159="","",ROUND($E159*N($F159),2))</f>
        <v/>
      </c>
      <c r="I159" s="21" t="str">
        <f aca="false">IF($E159="","",$E159+$G159-$H159)</f>
        <v/>
      </c>
      <c r="J159" s="21" t="str">
        <f aca="false">IF($E159="","",IF(Ajustes!$B$6="Sí",MAX(0,ROUND($E159*Ajustes!$B$5-$H159,2)),0))</f>
        <v/>
      </c>
      <c r="K159" s="21" t="str">
        <f aca="false">IF($E159="","",$G159+$J159)</f>
        <v/>
      </c>
      <c r="L159" s="21" t="str">
        <f aca="false">IF($E159="","",$I159-$K159)</f>
        <v/>
      </c>
      <c r="M159" s="22" t="str">
        <f aca="false">IF($A159="","",YEAR($A159))</f>
        <v/>
      </c>
      <c r="N159" s="22" t="str">
        <f aca="false">IF($A159="","",ROUNDUP(MONTH($A159)/3,0))</f>
        <v/>
      </c>
    </row>
    <row r="160" customFormat="false" ht="15" hidden="false" customHeight="false" outlineLevel="0" collapsed="false">
      <c r="A160" s="18"/>
      <c r="B160" s="19"/>
      <c r="C160" s="19"/>
      <c r="D160" s="19"/>
      <c r="E160" s="14"/>
      <c r="F160" s="20"/>
      <c r="G160" s="21" t="str">
        <f aca="false">IF($E160="","",ROUND($E160*Ajustes!$B$4,2))</f>
        <v/>
      </c>
      <c r="H160" s="21" t="str">
        <f aca="false">IF($E160="","",ROUND($E160*N($F160),2))</f>
        <v/>
      </c>
      <c r="I160" s="21" t="str">
        <f aca="false">IF($E160="","",$E160+$G160-$H160)</f>
        <v/>
      </c>
      <c r="J160" s="21" t="str">
        <f aca="false">IF($E160="","",IF(Ajustes!$B$6="Sí",MAX(0,ROUND($E160*Ajustes!$B$5-$H160,2)),0))</f>
        <v/>
      </c>
      <c r="K160" s="21" t="str">
        <f aca="false">IF($E160="","",$G160+$J160)</f>
        <v/>
      </c>
      <c r="L160" s="21" t="str">
        <f aca="false">IF($E160="","",$I160-$K160)</f>
        <v/>
      </c>
      <c r="M160" s="22" t="str">
        <f aca="false">IF($A160="","",YEAR($A160))</f>
        <v/>
      </c>
      <c r="N160" s="22" t="str">
        <f aca="false">IF($A160="","",ROUNDUP(MONTH($A160)/3,0))</f>
        <v/>
      </c>
    </row>
    <row r="161" customFormat="false" ht="15" hidden="false" customHeight="false" outlineLevel="0" collapsed="false">
      <c r="A161" s="18"/>
      <c r="B161" s="19"/>
      <c r="C161" s="19"/>
      <c r="D161" s="19"/>
      <c r="E161" s="14"/>
      <c r="F161" s="20"/>
      <c r="G161" s="21" t="str">
        <f aca="false">IF($E161="","",ROUND($E161*Ajustes!$B$4,2))</f>
        <v/>
      </c>
      <c r="H161" s="21" t="str">
        <f aca="false">IF($E161="","",ROUND($E161*N($F161),2))</f>
        <v/>
      </c>
      <c r="I161" s="21" t="str">
        <f aca="false">IF($E161="","",$E161+$G161-$H161)</f>
        <v/>
      </c>
      <c r="J161" s="21" t="str">
        <f aca="false">IF($E161="","",IF(Ajustes!$B$6="Sí",MAX(0,ROUND($E161*Ajustes!$B$5-$H161,2)),0))</f>
        <v/>
      </c>
      <c r="K161" s="21" t="str">
        <f aca="false">IF($E161="","",$G161+$J161)</f>
        <v/>
      </c>
      <c r="L161" s="21" t="str">
        <f aca="false">IF($E161="","",$I161-$K161)</f>
        <v/>
      </c>
      <c r="M161" s="22" t="str">
        <f aca="false">IF($A161="","",YEAR($A161))</f>
        <v/>
      </c>
      <c r="N161" s="22" t="str">
        <f aca="false">IF($A161="","",ROUNDUP(MONTH($A161)/3,0))</f>
        <v/>
      </c>
    </row>
    <row r="162" customFormat="false" ht="15" hidden="false" customHeight="false" outlineLevel="0" collapsed="false">
      <c r="A162" s="18"/>
      <c r="B162" s="19"/>
      <c r="C162" s="19"/>
      <c r="D162" s="19"/>
      <c r="E162" s="14"/>
      <c r="F162" s="20"/>
      <c r="G162" s="21" t="str">
        <f aca="false">IF($E162="","",ROUND($E162*Ajustes!$B$4,2))</f>
        <v/>
      </c>
      <c r="H162" s="21" t="str">
        <f aca="false">IF($E162="","",ROUND($E162*N($F162),2))</f>
        <v/>
      </c>
      <c r="I162" s="21" t="str">
        <f aca="false">IF($E162="","",$E162+$G162-$H162)</f>
        <v/>
      </c>
      <c r="J162" s="21" t="str">
        <f aca="false">IF($E162="","",IF(Ajustes!$B$6="Sí",MAX(0,ROUND($E162*Ajustes!$B$5-$H162,2)),0))</f>
        <v/>
      </c>
      <c r="K162" s="21" t="str">
        <f aca="false">IF($E162="","",$G162+$J162)</f>
        <v/>
      </c>
      <c r="L162" s="21" t="str">
        <f aca="false">IF($E162="","",$I162-$K162)</f>
        <v/>
      </c>
      <c r="M162" s="22" t="str">
        <f aca="false">IF($A162="","",YEAR($A162))</f>
        <v/>
      </c>
      <c r="N162" s="22" t="str">
        <f aca="false">IF($A162="","",ROUNDUP(MONTH($A162)/3,0))</f>
        <v/>
      </c>
    </row>
    <row r="163" customFormat="false" ht="15" hidden="false" customHeight="false" outlineLevel="0" collapsed="false">
      <c r="A163" s="18"/>
      <c r="B163" s="19"/>
      <c r="C163" s="19"/>
      <c r="D163" s="19"/>
      <c r="E163" s="14"/>
      <c r="F163" s="20"/>
      <c r="G163" s="21" t="str">
        <f aca="false">IF($E163="","",ROUND($E163*Ajustes!$B$4,2))</f>
        <v/>
      </c>
      <c r="H163" s="21" t="str">
        <f aca="false">IF($E163="","",ROUND($E163*N($F163),2))</f>
        <v/>
      </c>
      <c r="I163" s="21" t="str">
        <f aca="false">IF($E163="","",$E163+$G163-$H163)</f>
        <v/>
      </c>
      <c r="J163" s="21" t="str">
        <f aca="false">IF($E163="","",IF(Ajustes!$B$6="Sí",MAX(0,ROUND($E163*Ajustes!$B$5-$H163,2)),0))</f>
        <v/>
      </c>
      <c r="K163" s="21" t="str">
        <f aca="false">IF($E163="","",$G163+$J163)</f>
        <v/>
      </c>
      <c r="L163" s="21" t="str">
        <f aca="false">IF($E163="","",$I163-$K163)</f>
        <v/>
      </c>
      <c r="M163" s="22" t="str">
        <f aca="false">IF($A163="","",YEAR($A163))</f>
        <v/>
      </c>
      <c r="N163" s="22" t="str">
        <f aca="false">IF($A163="","",ROUNDUP(MONTH($A163)/3,0))</f>
        <v/>
      </c>
    </row>
    <row r="164" customFormat="false" ht="15" hidden="false" customHeight="false" outlineLevel="0" collapsed="false">
      <c r="A164" s="18"/>
      <c r="B164" s="19"/>
      <c r="C164" s="19"/>
      <c r="D164" s="19"/>
      <c r="E164" s="14"/>
      <c r="F164" s="20"/>
      <c r="G164" s="21" t="str">
        <f aca="false">IF($E164="","",ROUND($E164*Ajustes!$B$4,2))</f>
        <v/>
      </c>
      <c r="H164" s="21" t="str">
        <f aca="false">IF($E164="","",ROUND($E164*N($F164),2))</f>
        <v/>
      </c>
      <c r="I164" s="21" t="str">
        <f aca="false">IF($E164="","",$E164+$G164-$H164)</f>
        <v/>
      </c>
      <c r="J164" s="21" t="str">
        <f aca="false">IF($E164="","",IF(Ajustes!$B$6="Sí",MAX(0,ROUND($E164*Ajustes!$B$5-$H164,2)),0))</f>
        <v/>
      </c>
      <c r="K164" s="21" t="str">
        <f aca="false">IF($E164="","",$G164+$J164)</f>
        <v/>
      </c>
      <c r="L164" s="21" t="str">
        <f aca="false">IF($E164="","",$I164-$K164)</f>
        <v/>
      </c>
      <c r="M164" s="22" t="str">
        <f aca="false">IF($A164="","",YEAR($A164))</f>
        <v/>
      </c>
      <c r="N164" s="22" t="str">
        <f aca="false">IF($A164="","",ROUNDUP(MONTH($A164)/3,0))</f>
        <v/>
      </c>
    </row>
    <row r="165" customFormat="false" ht="15" hidden="false" customHeight="false" outlineLevel="0" collapsed="false">
      <c r="A165" s="18"/>
      <c r="B165" s="19"/>
      <c r="C165" s="19"/>
      <c r="D165" s="19"/>
      <c r="E165" s="14"/>
      <c r="F165" s="20"/>
      <c r="G165" s="21" t="str">
        <f aca="false">IF($E165="","",ROUND($E165*Ajustes!$B$4,2))</f>
        <v/>
      </c>
      <c r="H165" s="21" t="str">
        <f aca="false">IF($E165="","",ROUND($E165*N($F165),2))</f>
        <v/>
      </c>
      <c r="I165" s="21" t="str">
        <f aca="false">IF($E165="","",$E165+$G165-$H165)</f>
        <v/>
      </c>
      <c r="J165" s="21" t="str">
        <f aca="false">IF($E165="","",IF(Ajustes!$B$6="Sí",MAX(0,ROUND($E165*Ajustes!$B$5-$H165,2)),0))</f>
        <v/>
      </c>
      <c r="K165" s="21" t="str">
        <f aca="false">IF($E165="","",$G165+$J165)</f>
        <v/>
      </c>
      <c r="L165" s="21" t="str">
        <f aca="false">IF($E165="","",$I165-$K165)</f>
        <v/>
      </c>
      <c r="M165" s="22" t="str">
        <f aca="false">IF($A165="","",YEAR($A165))</f>
        <v/>
      </c>
      <c r="N165" s="22" t="str">
        <f aca="false">IF($A165="","",ROUNDUP(MONTH($A165)/3,0))</f>
        <v/>
      </c>
    </row>
    <row r="166" customFormat="false" ht="15" hidden="false" customHeight="false" outlineLevel="0" collapsed="false">
      <c r="A166" s="18"/>
      <c r="B166" s="19"/>
      <c r="C166" s="19"/>
      <c r="D166" s="19"/>
      <c r="E166" s="14"/>
      <c r="F166" s="20"/>
      <c r="G166" s="21" t="str">
        <f aca="false">IF($E166="","",ROUND($E166*Ajustes!$B$4,2))</f>
        <v/>
      </c>
      <c r="H166" s="21" t="str">
        <f aca="false">IF($E166="","",ROUND($E166*N($F166),2))</f>
        <v/>
      </c>
      <c r="I166" s="21" t="str">
        <f aca="false">IF($E166="","",$E166+$G166-$H166)</f>
        <v/>
      </c>
      <c r="J166" s="21" t="str">
        <f aca="false">IF($E166="","",IF(Ajustes!$B$6="Sí",MAX(0,ROUND($E166*Ajustes!$B$5-$H166,2)),0))</f>
        <v/>
      </c>
      <c r="K166" s="21" t="str">
        <f aca="false">IF($E166="","",$G166+$J166)</f>
        <v/>
      </c>
      <c r="L166" s="21" t="str">
        <f aca="false">IF($E166="","",$I166-$K166)</f>
        <v/>
      </c>
      <c r="M166" s="22" t="str">
        <f aca="false">IF($A166="","",YEAR($A166))</f>
        <v/>
      </c>
      <c r="N166" s="22" t="str">
        <f aca="false">IF($A166="","",ROUNDUP(MONTH($A166)/3,0))</f>
        <v/>
      </c>
    </row>
    <row r="167" customFormat="false" ht="15" hidden="false" customHeight="false" outlineLevel="0" collapsed="false">
      <c r="A167" s="18"/>
      <c r="B167" s="19"/>
      <c r="C167" s="19"/>
      <c r="D167" s="19"/>
      <c r="E167" s="14"/>
      <c r="F167" s="20"/>
      <c r="G167" s="21" t="str">
        <f aca="false">IF($E167="","",ROUND($E167*Ajustes!$B$4,2))</f>
        <v/>
      </c>
      <c r="H167" s="21" t="str">
        <f aca="false">IF($E167="","",ROUND($E167*N($F167),2))</f>
        <v/>
      </c>
      <c r="I167" s="21" t="str">
        <f aca="false">IF($E167="","",$E167+$G167-$H167)</f>
        <v/>
      </c>
      <c r="J167" s="21" t="str">
        <f aca="false">IF($E167="","",IF(Ajustes!$B$6="Sí",MAX(0,ROUND($E167*Ajustes!$B$5-$H167,2)),0))</f>
        <v/>
      </c>
      <c r="K167" s="21" t="str">
        <f aca="false">IF($E167="","",$G167+$J167)</f>
        <v/>
      </c>
      <c r="L167" s="21" t="str">
        <f aca="false">IF($E167="","",$I167-$K167)</f>
        <v/>
      </c>
      <c r="M167" s="22" t="str">
        <f aca="false">IF($A167="","",YEAR($A167))</f>
        <v/>
      </c>
      <c r="N167" s="22" t="str">
        <f aca="false">IF($A167="","",ROUNDUP(MONTH($A167)/3,0))</f>
        <v/>
      </c>
    </row>
    <row r="168" customFormat="false" ht="15" hidden="false" customHeight="false" outlineLevel="0" collapsed="false">
      <c r="A168" s="18"/>
      <c r="B168" s="19"/>
      <c r="C168" s="19"/>
      <c r="D168" s="19"/>
      <c r="E168" s="14"/>
      <c r="F168" s="20"/>
      <c r="G168" s="21" t="str">
        <f aca="false">IF($E168="","",ROUND($E168*Ajustes!$B$4,2))</f>
        <v/>
      </c>
      <c r="H168" s="21" t="str">
        <f aca="false">IF($E168="","",ROUND($E168*N($F168),2))</f>
        <v/>
      </c>
      <c r="I168" s="21" t="str">
        <f aca="false">IF($E168="","",$E168+$G168-$H168)</f>
        <v/>
      </c>
      <c r="J168" s="21" t="str">
        <f aca="false">IF($E168="","",IF(Ajustes!$B$6="Sí",MAX(0,ROUND($E168*Ajustes!$B$5-$H168,2)),0))</f>
        <v/>
      </c>
      <c r="K168" s="21" t="str">
        <f aca="false">IF($E168="","",$G168+$J168)</f>
        <v/>
      </c>
      <c r="L168" s="21" t="str">
        <f aca="false">IF($E168="","",$I168-$K168)</f>
        <v/>
      </c>
      <c r="M168" s="22" t="str">
        <f aca="false">IF($A168="","",YEAR($A168))</f>
        <v/>
      </c>
      <c r="N168" s="22" t="str">
        <f aca="false">IF($A168="","",ROUNDUP(MONTH($A168)/3,0))</f>
        <v/>
      </c>
    </row>
    <row r="169" customFormat="false" ht="15" hidden="false" customHeight="false" outlineLevel="0" collapsed="false">
      <c r="A169" s="18"/>
      <c r="B169" s="19"/>
      <c r="C169" s="19"/>
      <c r="D169" s="19"/>
      <c r="E169" s="14"/>
      <c r="F169" s="20"/>
      <c r="G169" s="21" t="str">
        <f aca="false">IF($E169="","",ROUND($E169*Ajustes!$B$4,2))</f>
        <v/>
      </c>
      <c r="H169" s="21" t="str">
        <f aca="false">IF($E169="","",ROUND($E169*N($F169),2))</f>
        <v/>
      </c>
      <c r="I169" s="21" t="str">
        <f aca="false">IF($E169="","",$E169+$G169-$H169)</f>
        <v/>
      </c>
      <c r="J169" s="21" t="str">
        <f aca="false">IF($E169="","",IF(Ajustes!$B$6="Sí",MAX(0,ROUND($E169*Ajustes!$B$5-$H169,2)),0))</f>
        <v/>
      </c>
      <c r="K169" s="21" t="str">
        <f aca="false">IF($E169="","",$G169+$J169)</f>
        <v/>
      </c>
      <c r="L169" s="21" t="str">
        <f aca="false">IF($E169="","",$I169-$K169)</f>
        <v/>
      </c>
      <c r="M169" s="22" t="str">
        <f aca="false">IF($A169="","",YEAR($A169))</f>
        <v/>
      </c>
      <c r="N169" s="22" t="str">
        <f aca="false">IF($A169="","",ROUNDUP(MONTH($A169)/3,0))</f>
        <v/>
      </c>
    </row>
    <row r="170" customFormat="false" ht="15" hidden="false" customHeight="false" outlineLevel="0" collapsed="false">
      <c r="A170" s="18"/>
      <c r="B170" s="19"/>
      <c r="C170" s="19"/>
      <c r="D170" s="19"/>
      <c r="E170" s="14"/>
      <c r="F170" s="20"/>
      <c r="G170" s="21" t="str">
        <f aca="false">IF($E170="","",ROUND($E170*Ajustes!$B$4,2))</f>
        <v/>
      </c>
      <c r="H170" s="21" t="str">
        <f aca="false">IF($E170="","",ROUND($E170*N($F170),2))</f>
        <v/>
      </c>
      <c r="I170" s="21" t="str">
        <f aca="false">IF($E170="","",$E170+$G170-$H170)</f>
        <v/>
      </c>
      <c r="J170" s="21" t="str">
        <f aca="false">IF($E170="","",IF(Ajustes!$B$6="Sí",MAX(0,ROUND($E170*Ajustes!$B$5-$H170,2)),0))</f>
        <v/>
      </c>
      <c r="K170" s="21" t="str">
        <f aca="false">IF($E170="","",$G170+$J170)</f>
        <v/>
      </c>
      <c r="L170" s="21" t="str">
        <f aca="false">IF($E170="","",$I170-$K170)</f>
        <v/>
      </c>
      <c r="M170" s="22" t="str">
        <f aca="false">IF($A170="","",YEAR($A170))</f>
        <v/>
      </c>
      <c r="N170" s="22" t="str">
        <f aca="false">IF($A170="","",ROUNDUP(MONTH($A170)/3,0))</f>
        <v/>
      </c>
    </row>
    <row r="171" customFormat="false" ht="15" hidden="false" customHeight="false" outlineLevel="0" collapsed="false">
      <c r="A171" s="18"/>
      <c r="B171" s="19"/>
      <c r="C171" s="19"/>
      <c r="D171" s="19"/>
      <c r="E171" s="14"/>
      <c r="F171" s="20"/>
      <c r="G171" s="21" t="str">
        <f aca="false">IF($E171="","",ROUND($E171*Ajustes!$B$4,2))</f>
        <v/>
      </c>
      <c r="H171" s="21" t="str">
        <f aca="false">IF($E171="","",ROUND($E171*N($F171),2))</f>
        <v/>
      </c>
      <c r="I171" s="21" t="str">
        <f aca="false">IF($E171="","",$E171+$G171-$H171)</f>
        <v/>
      </c>
      <c r="J171" s="21" t="str">
        <f aca="false">IF($E171="","",IF(Ajustes!$B$6="Sí",MAX(0,ROUND($E171*Ajustes!$B$5-$H171,2)),0))</f>
        <v/>
      </c>
      <c r="K171" s="21" t="str">
        <f aca="false">IF($E171="","",$G171+$J171)</f>
        <v/>
      </c>
      <c r="L171" s="21" t="str">
        <f aca="false">IF($E171="","",$I171-$K171)</f>
        <v/>
      </c>
      <c r="M171" s="22" t="str">
        <f aca="false">IF($A171="","",YEAR($A171))</f>
        <v/>
      </c>
      <c r="N171" s="22" t="str">
        <f aca="false">IF($A171="","",ROUNDUP(MONTH($A171)/3,0))</f>
        <v/>
      </c>
    </row>
    <row r="172" customFormat="false" ht="15" hidden="false" customHeight="false" outlineLevel="0" collapsed="false">
      <c r="A172" s="18"/>
      <c r="B172" s="19"/>
      <c r="C172" s="19"/>
      <c r="D172" s="19"/>
      <c r="E172" s="14"/>
      <c r="F172" s="20"/>
      <c r="G172" s="21" t="str">
        <f aca="false">IF($E172="","",ROUND($E172*Ajustes!$B$4,2))</f>
        <v/>
      </c>
      <c r="H172" s="21" t="str">
        <f aca="false">IF($E172="","",ROUND($E172*N($F172),2))</f>
        <v/>
      </c>
      <c r="I172" s="21" t="str">
        <f aca="false">IF($E172="","",$E172+$G172-$H172)</f>
        <v/>
      </c>
      <c r="J172" s="21" t="str">
        <f aca="false">IF($E172="","",IF(Ajustes!$B$6="Sí",MAX(0,ROUND($E172*Ajustes!$B$5-$H172,2)),0))</f>
        <v/>
      </c>
      <c r="K172" s="21" t="str">
        <f aca="false">IF($E172="","",$G172+$J172)</f>
        <v/>
      </c>
      <c r="L172" s="21" t="str">
        <f aca="false">IF($E172="","",$I172-$K172)</f>
        <v/>
      </c>
      <c r="M172" s="22" t="str">
        <f aca="false">IF($A172="","",YEAR($A172))</f>
        <v/>
      </c>
      <c r="N172" s="22" t="str">
        <f aca="false">IF($A172="","",ROUNDUP(MONTH($A172)/3,0))</f>
        <v/>
      </c>
    </row>
    <row r="173" customFormat="false" ht="15" hidden="false" customHeight="false" outlineLevel="0" collapsed="false">
      <c r="A173" s="18"/>
      <c r="B173" s="19"/>
      <c r="C173" s="19"/>
      <c r="D173" s="19"/>
      <c r="E173" s="14"/>
      <c r="F173" s="20"/>
      <c r="G173" s="21" t="str">
        <f aca="false">IF($E173="","",ROUND($E173*Ajustes!$B$4,2))</f>
        <v/>
      </c>
      <c r="H173" s="21" t="str">
        <f aca="false">IF($E173="","",ROUND($E173*N($F173),2))</f>
        <v/>
      </c>
      <c r="I173" s="21" t="str">
        <f aca="false">IF($E173="","",$E173+$G173-$H173)</f>
        <v/>
      </c>
      <c r="J173" s="21" t="str">
        <f aca="false">IF($E173="","",IF(Ajustes!$B$6="Sí",MAX(0,ROUND($E173*Ajustes!$B$5-$H173,2)),0))</f>
        <v/>
      </c>
      <c r="K173" s="21" t="str">
        <f aca="false">IF($E173="","",$G173+$J173)</f>
        <v/>
      </c>
      <c r="L173" s="21" t="str">
        <f aca="false">IF($E173="","",$I173-$K173)</f>
        <v/>
      </c>
      <c r="M173" s="22" t="str">
        <f aca="false">IF($A173="","",YEAR($A173))</f>
        <v/>
      </c>
      <c r="N173" s="22" t="str">
        <f aca="false">IF($A173="","",ROUNDUP(MONTH($A173)/3,0))</f>
        <v/>
      </c>
    </row>
    <row r="174" customFormat="false" ht="15" hidden="false" customHeight="false" outlineLevel="0" collapsed="false">
      <c r="A174" s="18"/>
      <c r="B174" s="19"/>
      <c r="C174" s="19"/>
      <c r="D174" s="19"/>
      <c r="E174" s="14"/>
      <c r="F174" s="20"/>
      <c r="G174" s="21" t="str">
        <f aca="false">IF($E174="","",ROUND($E174*Ajustes!$B$4,2))</f>
        <v/>
      </c>
      <c r="H174" s="21" t="str">
        <f aca="false">IF($E174="","",ROUND($E174*N($F174),2))</f>
        <v/>
      </c>
      <c r="I174" s="21" t="str">
        <f aca="false">IF($E174="","",$E174+$G174-$H174)</f>
        <v/>
      </c>
      <c r="J174" s="21" t="str">
        <f aca="false">IF($E174="","",IF(Ajustes!$B$6="Sí",MAX(0,ROUND($E174*Ajustes!$B$5-$H174,2)),0))</f>
        <v/>
      </c>
      <c r="K174" s="21" t="str">
        <f aca="false">IF($E174="","",$G174+$J174)</f>
        <v/>
      </c>
      <c r="L174" s="21" t="str">
        <f aca="false">IF($E174="","",$I174-$K174)</f>
        <v/>
      </c>
      <c r="M174" s="22" t="str">
        <f aca="false">IF($A174="","",YEAR($A174))</f>
        <v/>
      </c>
      <c r="N174" s="22" t="str">
        <f aca="false">IF($A174="","",ROUNDUP(MONTH($A174)/3,0))</f>
        <v/>
      </c>
    </row>
    <row r="175" customFormat="false" ht="15" hidden="false" customHeight="false" outlineLevel="0" collapsed="false">
      <c r="A175" s="18"/>
      <c r="B175" s="19"/>
      <c r="C175" s="19"/>
      <c r="D175" s="19"/>
      <c r="E175" s="14"/>
      <c r="F175" s="20"/>
      <c r="G175" s="21" t="str">
        <f aca="false">IF($E175="","",ROUND($E175*Ajustes!$B$4,2))</f>
        <v/>
      </c>
      <c r="H175" s="21" t="str">
        <f aca="false">IF($E175="","",ROUND($E175*N($F175),2))</f>
        <v/>
      </c>
      <c r="I175" s="21" t="str">
        <f aca="false">IF($E175="","",$E175+$G175-$H175)</f>
        <v/>
      </c>
      <c r="J175" s="21" t="str">
        <f aca="false">IF($E175="","",IF(Ajustes!$B$6="Sí",MAX(0,ROUND($E175*Ajustes!$B$5-$H175,2)),0))</f>
        <v/>
      </c>
      <c r="K175" s="21" t="str">
        <f aca="false">IF($E175="","",$G175+$J175)</f>
        <v/>
      </c>
      <c r="L175" s="21" t="str">
        <f aca="false">IF($E175="","",$I175-$K175)</f>
        <v/>
      </c>
      <c r="M175" s="22" t="str">
        <f aca="false">IF($A175="","",YEAR($A175))</f>
        <v/>
      </c>
      <c r="N175" s="22" t="str">
        <f aca="false">IF($A175="","",ROUNDUP(MONTH($A175)/3,0))</f>
        <v/>
      </c>
    </row>
    <row r="176" customFormat="false" ht="15" hidden="false" customHeight="false" outlineLevel="0" collapsed="false">
      <c r="A176" s="18"/>
      <c r="B176" s="19"/>
      <c r="C176" s="19"/>
      <c r="D176" s="19"/>
      <c r="E176" s="14"/>
      <c r="F176" s="20"/>
      <c r="G176" s="21" t="str">
        <f aca="false">IF($E176="","",ROUND($E176*Ajustes!$B$4,2))</f>
        <v/>
      </c>
      <c r="H176" s="21" t="str">
        <f aca="false">IF($E176="","",ROUND($E176*N($F176),2))</f>
        <v/>
      </c>
      <c r="I176" s="21" t="str">
        <f aca="false">IF($E176="","",$E176+$G176-$H176)</f>
        <v/>
      </c>
      <c r="J176" s="21" t="str">
        <f aca="false">IF($E176="","",IF(Ajustes!$B$6="Sí",MAX(0,ROUND($E176*Ajustes!$B$5-$H176,2)),0))</f>
        <v/>
      </c>
      <c r="K176" s="21" t="str">
        <f aca="false">IF($E176="","",$G176+$J176)</f>
        <v/>
      </c>
      <c r="L176" s="21" t="str">
        <f aca="false">IF($E176="","",$I176-$K176)</f>
        <v/>
      </c>
      <c r="M176" s="22" t="str">
        <f aca="false">IF($A176="","",YEAR($A176))</f>
        <v/>
      </c>
      <c r="N176" s="22" t="str">
        <f aca="false">IF($A176="","",ROUNDUP(MONTH($A176)/3,0))</f>
        <v/>
      </c>
    </row>
    <row r="177" customFormat="false" ht="15" hidden="false" customHeight="false" outlineLevel="0" collapsed="false">
      <c r="A177" s="18"/>
      <c r="B177" s="19"/>
      <c r="C177" s="19"/>
      <c r="D177" s="19"/>
      <c r="E177" s="14"/>
      <c r="F177" s="20"/>
      <c r="G177" s="21" t="str">
        <f aca="false">IF($E177="","",ROUND($E177*Ajustes!$B$4,2))</f>
        <v/>
      </c>
      <c r="H177" s="21" t="str">
        <f aca="false">IF($E177="","",ROUND($E177*N($F177),2))</f>
        <v/>
      </c>
      <c r="I177" s="21" t="str">
        <f aca="false">IF($E177="","",$E177+$G177-$H177)</f>
        <v/>
      </c>
      <c r="J177" s="21" t="str">
        <f aca="false">IF($E177="","",IF(Ajustes!$B$6="Sí",MAX(0,ROUND($E177*Ajustes!$B$5-$H177,2)),0))</f>
        <v/>
      </c>
      <c r="K177" s="21" t="str">
        <f aca="false">IF($E177="","",$G177+$J177)</f>
        <v/>
      </c>
      <c r="L177" s="21" t="str">
        <f aca="false">IF($E177="","",$I177-$K177)</f>
        <v/>
      </c>
      <c r="M177" s="22" t="str">
        <f aca="false">IF($A177="","",YEAR($A177))</f>
        <v/>
      </c>
      <c r="N177" s="22" t="str">
        <f aca="false">IF($A177="","",ROUNDUP(MONTH($A177)/3,0))</f>
        <v/>
      </c>
    </row>
    <row r="178" customFormat="false" ht="15" hidden="false" customHeight="false" outlineLevel="0" collapsed="false">
      <c r="A178" s="18"/>
      <c r="B178" s="19"/>
      <c r="C178" s="19"/>
      <c r="D178" s="19"/>
      <c r="E178" s="14"/>
      <c r="F178" s="20"/>
      <c r="G178" s="21" t="str">
        <f aca="false">IF($E178="","",ROUND($E178*Ajustes!$B$4,2))</f>
        <v/>
      </c>
      <c r="H178" s="21" t="str">
        <f aca="false">IF($E178="","",ROUND($E178*N($F178),2))</f>
        <v/>
      </c>
      <c r="I178" s="21" t="str">
        <f aca="false">IF($E178="","",$E178+$G178-$H178)</f>
        <v/>
      </c>
      <c r="J178" s="21" t="str">
        <f aca="false">IF($E178="","",IF(Ajustes!$B$6="Sí",MAX(0,ROUND($E178*Ajustes!$B$5-$H178,2)),0))</f>
        <v/>
      </c>
      <c r="K178" s="21" t="str">
        <f aca="false">IF($E178="","",$G178+$J178)</f>
        <v/>
      </c>
      <c r="L178" s="21" t="str">
        <f aca="false">IF($E178="","",$I178-$K178)</f>
        <v/>
      </c>
      <c r="M178" s="22" t="str">
        <f aca="false">IF($A178="","",YEAR($A178))</f>
        <v/>
      </c>
      <c r="N178" s="22" t="str">
        <f aca="false">IF($A178="","",ROUNDUP(MONTH($A178)/3,0))</f>
        <v/>
      </c>
    </row>
    <row r="179" customFormat="false" ht="15" hidden="false" customHeight="false" outlineLevel="0" collapsed="false">
      <c r="A179" s="18"/>
      <c r="B179" s="19"/>
      <c r="C179" s="19"/>
      <c r="D179" s="19"/>
      <c r="E179" s="14"/>
      <c r="F179" s="20"/>
      <c r="G179" s="21" t="str">
        <f aca="false">IF($E179="","",ROUND($E179*Ajustes!$B$4,2))</f>
        <v/>
      </c>
      <c r="H179" s="21" t="str">
        <f aca="false">IF($E179="","",ROUND($E179*N($F179),2))</f>
        <v/>
      </c>
      <c r="I179" s="21" t="str">
        <f aca="false">IF($E179="","",$E179+$G179-$H179)</f>
        <v/>
      </c>
      <c r="J179" s="21" t="str">
        <f aca="false">IF($E179="","",IF(Ajustes!$B$6="Sí",MAX(0,ROUND($E179*Ajustes!$B$5-$H179,2)),0))</f>
        <v/>
      </c>
      <c r="K179" s="21" t="str">
        <f aca="false">IF($E179="","",$G179+$J179)</f>
        <v/>
      </c>
      <c r="L179" s="21" t="str">
        <f aca="false">IF($E179="","",$I179-$K179)</f>
        <v/>
      </c>
      <c r="M179" s="22" t="str">
        <f aca="false">IF($A179="","",YEAR($A179))</f>
        <v/>
      </c>
      <c r="N179" s="22" t="str">
        <f aca="false">IF($A179="","",ROUNDUP(MONTH($A179)/3,0))</f>
        <v/>
      </c>
    </row>
    <row r="180" customFormat="false" ht="15" hidden="false" customHeight="false" outlineLevel="0" collapsed="false">
      <c r="A180" s="18"/>
      <c r="B180" s="19"/>
      <c r="C180" s="19"/>
      <c r="D180" s="19"/>
      <c r="E180" s="14"/>
      <c r="F180" s="20"/>
      <c r="G180" s="21" t="str">
        <f aca="false">IF($E180="","",ROUND($E180*Ajustes!$B$4,2))</f>
        <v/>
      </c>
      <c r="H180" s="21" t="str">
        <f aca="false">IF($E180="","",ROUND($E180*N($F180),2))</f>
        <v/>
      </c>
      <c r="I180" s="21" t="str">
        <f aca="false">IF($E180="","",$E180+$G180-$H180)</f>
        <v/>
      </c>
      <c r="J180" s="21" t="str">
        <f aca="false">IF($E180="","",IF(Ajustes!$B$6="Sí",MAX(0,ROUND($E180*Ajustes!$B$5-$H180,2)),0))</f>
        <v/>
      </c>
      <c r="K180" s="21" t="str">
        <f aca="false">IF($E180="","",$G180+$J180)</f>
        <v/>
      </c>
      <c r="L180" s="21" t="str">
        <f aca="false">IF($E180="","",$I180-$K180)</f>
        <v/>
      </c>
      <c r="M180" s="22" t="str">
        <f aca="false">IF($A180="","",YEAR($A180))</f>
        <v/>
      </c>
      <c r="N180" s="22" t="str">
        <f aca="false">IF($A180="","",ROUNDUP(MONTH($A180)/3,0))</f>
        <v/>
      </c>
    </row>
    <row r="181" customFormat="false" ht="15" hidden="false" customHeight="false" outlineLevel="0" collapsed="false">
      <c r="A181" s="18"/>
      <c r="B181" s="19"/>
      <c r="C181" s="19"/>
      <c r="D181" s="19"/>
      <c r="E181" s="14"/>
      <c r="F181" s="20"/>
      <c r="G181" s="21" t="str">
        <f aca="false">IF($E181="","",ROUND($E181*Ajustes!$B$4,2))</f>
        <v/>
      </c>
      <c r="H181" s="21" t="str">
        <f aca="false">IF($E181="","",ROUND($E181*N($F181),2))</f>
        <v/>
      </c>
      <c r="I181" s="21" t="str">
        <f aca="false">IF($E181="","",$E181+$G181-$H181)</f>
        <v/>
      </c>
      <c r="J181" s="21" t="str">
        <f aca="false">IF($E181="","",IF(Ajustes!$B$6="Sí",MAX(0,ROUND($E181*Ajustes!$B$5-$H181,2)),0))</f>
        <v/>
      </c>
      <c r="K181" s="21" t="str">
        <f aca="false">IF($E181="","",$G181+$J181)</f>
        <v/>
      </c>
      <c r="L181" s="21" t="str">
        <f aca="false">IF($E181="","",$I181-$K181)</f>
        <v/>
      </c>
      <c r="M181" s="22" t="str">
        <f aca="false">IF($A181="","",YEAR($A181))</f>
        <v/>
      </c>
      <c r="N181" s="22" t="str">
        <f aca="false">IF($A181="","",ROUNDUP(MONTH($A181)/3,0))</f>
        <v/>
      </c>
    </row>
    <row r="182" customFormat="false" ht="15" hidden="false" customHeight="false" outlineLevel="0" collapsed="false">
      <c r="A182" s="18"/>
      <c r="B182" s="19"/>
      <c r="C182" s="19"/>
      <c r="D182" s="19"/>
      <c r="E182" s="14"/>
      <c r="F182" s="20"/>
      <c r="G182" s="21" t="str">
        <f aca="false">IF($E182="","",ROUND($E182*Ajustes!$B$4,2))</f>
        <v/>
      </c>
      <c r="H182" s="21" t="str">
        <f aca="false">IF($E182="","",ROUND($E182*N($F182),2))</f>
        <v/>
      </c>
      <c r="I182" s="21" t="str">
        <f aca="false">IF($E182="","",$E182+$G182-$H182)</f>
        <v/>
      </c>
      <c r="J182" s="21" t="str">
        <f aca="false">IF($E182="","",IF(Ajustes!$B$6="Sí",MAX(0,ROUND($E182*Ajustes!$B$5-$H182,2)),0))</f>
        <v/>
      </c>
      <c r="K182" s="21" t="str">
        <f aca="false">IF($E182="","",$G182+$J182)</f>
        <v/>
      </c>
      <c r="L182" s="21" t="str">
        <f aca="false">IF($E182="","",$I182-$K182)</f>
        <v/>
      </c>
      <c r="M182" s="22" t="str">
        <f aca="false">IF($A182="","",YEAR($A182))</f>
        <v/>
      </c>
      <c r="N182" s="22" t="str">
        <f aca="false">IF($A182="","",ROUNDUP(MONTH($A182)/3,0))</f>
        <v/>
      </c>
    </row>
    <row r="183" customFormat="false" ht="15" hidden="false" customHeight="false" outlineLevel="0" collapsed="false">
      <c r="A183" s="18"/>
      <c r="B183" s="19"/>
      <c r="C183" s="19"/>
      <c r="D183" s="19"/>
      <c r="E183" s="14"/>
      <c r="F183" s="20"/>
      <c r="G183" s="21" t="str">
        <f aca="false">IF($E183="","",ROUND($E183*Ajustes!$B$4,2))</f>
        <v/>
      </c>
      <c r="H183" s="21" t="str">
        <f aca="false">IF($E183="","",ROUND($E183*N($F183),2))</f>
        <v/>
      </c>
      <c r="I183" s="21" t="str">
        <f aca="false">IF($E183="","",$E183+$G183-$H183)</f>
        <v/>
      </c>
      <c r="J183" s="21" t="str">
        <f aca="false">IF($E183="","",IF(Ajustes!$B$6="Sí",MAX(0,ROUND($E183*Ajustes!$B$5-$H183,2)),0))</f>
        <v/>
      </c>
      <c r="K183" s="21" t="str">
        <f aca="false">IF($E183="","",$G183+$J183)</f>
        <v/>
      </c>
      <c r="L183" s="21" t="str">
        <f aca="false">IF($E183="","",$I183-$K183)</f>
        <v/>
      </c>
      <c r="M183" s="22" t="str">
        <f aca="false">IF($A183="","",YEAR($A183))</f>
        <v/>
      </c>
      <c r="N183" s="22" t="str">
        <f aca="false">IF($A183="","",ROUNDUP(MONTH($A183)/3,0))</f>
        <v/>
      </c>
    </row>
    <row r="184" customFormat="false" ht="15" hidden="false" customHeight="false" outlineLevel="0" collapsed="false">
      <c r="A184" s="18"/>
      <c r="B184" s="19"/>
      <c r="C184" s="19"/>
      <c r="D184" s="19"/>
      <c r="E184" s="14"/>
      <c r="F184" s="20"/>
      <c r="G184" s="21" t="str">
        <f aca="false">IF($E184="","",ROUND($E184*Ajustes!$B$4,2))</f>
        <v/>
      </c>
      <c r="H184" s="21" t="str">
        <f aca="false">IF($E184="","",ROUND($E184*N($F184),2))</f>
        <v/>
      </c>
      <c r="I184" s="21" t="str">
        <f aca="false">IF($E184="","",$E184+$G184-$H184)</f>
        <v/>
      </c>
      <c r="J184" s="21" t="str">
        <f aca="false">IF($E184="","",IF(Ajustes!$B$6="Sí",MAX(0,ROUND($E184*Ajustes!$B$5-$H184,2)),0))</f>
        <v/>
      </c>
      <c r="K184" s="21" t="str">
        <f aca="false">IF($E184="","",$G184+$J184)</f>
        <v/>
      </c>
      <c r="L184" s="21" t="str">
        <f aca="false">IF($E184="","",$I184-$K184)</f>
        <v/>
      </c>
      <c r="M184" s="22" t="str">
        <f aca="false">IF($A184="","",YEAR($A184))</f>
        <v/>
      </c>
      <c r="N184" s="22" t="str">
        <f aca="false">IF($A184="","",ROUNDUP(MONTH($A184)/3,0))</f>
        <v/>
      </c>
    </row>
    <row r="185" customFormat="false" ht="15" hidden="false" customHeight="false" outlineLevel="0" collapsed="false">
      <c r="A185" s="18"/>
      <c r="B185" s="19"/>
      <c r="C185" s="19"/>
      <c r="D185" s="19"/>
      <c r="E185" s="14"/>
      <c r="F185" s="20"/>
      <c r="G185" s="21" t="str">
        <f aca="false">IF($E185="","",ROUND($E185*Ajustes!$B$4,2))</f>
        <v/>
      </c>
      <c r="H185" s="21" t="str">
        <f aca="false">IF($E185="","",ROUND($E185*N($F185),2))</f>
        <v/>
      </c>
      <c r="I185" s="21" t="str">
        <f aca="false">IF($E185="","",$E185+$G185-$H185)</f>
        <v/>
      </c>
      <c r="J185" s="21" t="str">
        <f aca="false">IF($E185="","",IF(Ajustes!$B$6="Sí",MAX(0,ROUND($E185*Ajustes!$B$5-$H185,2)),0))</f>
        <v/>
      </c>
      <c r="K185" s="21" t="str">
        <f aca="false">IF($E185="","",$G185+$J185)</f>
        <v/>
      </c>
      <c r="L185" s="21" t="str">
        <f aca="false">IF($E185="","",$I185-$K185)</f>
        <v/>
      </c>
      <c r="M185" s="22" t="str">
        <f aca="false">IF($A185="","",YEAR($A185))</f>
        <v/>
      </c>
      <c r="N185" s="22" t="str">
        <f aca="false">IF($A185="","",ROUNDUP(MONTH($A185)/3,0))</f>
        <v/>
      </c>
    </row>
    <row r="186" customFormat="false" ht="15" hidden="false" customHeight="false" outlineLevel="0" collapsed="false">
      <c r="A186" s="18"/>
      <c r="B186" s="19"/>
      <c r="C186" s="19"/>
      <c r="D186" s="19"/>
      <c r="E186" s="14"/>
      <c r="F186" s="20"/>
      <c r="G186" s="21" t="str">
        <f aca="false">IF($E186="","",ROUND($E186*Ajustes!$B$4,2))</f>
        <v/>
      </c>
      <c r="H186" s="21" t="str">
        <f aca="false">IF($E186="","",ROUND($E186*N($F186),2))</f>
        <v/>
      </c>
      <c r="I186" s="21" t="str">
        <f aca="false">IF($E186="","",$E186+$G186-$H186)</f>
        <v/>
      </c>
      <c r="J186" s="21" t="str">
        <f aca="false">IF($E186="","",IF(Ajustes!$B$6="Sí",MAX(0,ROUND($E186*Ajustes!$B$5-$H186,2)),0))</f>
        <v/>
      </c>
      <c r="K186" s="21" t="str">
        <f aca="false">IF($E186="","",$G186+$J186)</f>
        <v/>
      </c>
      <c r="L186" s="21" t="str">
        <f aca="false">IF($E186="","",$I186-$K186)</f>
        <v/>
      </c>
      <c r="M186" s="22" t="str">
        <f aca="false">IF($A186="","",YEAR($A186))</f>
        <v/>
      </c>
      <c r="N186" s="22" t="str">
        <f aca="false">IF($A186="","",ROUNDUP(MONTH($A186)/3,0))</f>
        <v/>
      </c>
    </row>
    <row r="187" customFormat="false" ht="15" hidden="false" customHeight="false" outlineLevel="0" collapsed="false">
      <c r="A187" s="18"/>
      <c r="B187" s="19"/>
      <c r="C187" s="19"/>
      <c r="D187" s="19"/>
      <c r="E187" s="14"/>
      <c r="F187" s="20"/>
      <c r="G187" s="21" t="str">
        <f aca="false">IF($E187="","",ROUND($E187*Ajustes!$B$4,2))</f>
        <v/>
      </c>
      <c r="H187" s="21" t="str">
        <f aca="false">IF($E187="","",ROUND($E187*N($F187),2))</f>
        <v/>
      </c>
      <c r="I187" s="21" t="str">
        <f aca="false">IF($E187="","",$E187+$G187-$H187)</f>
        <v/>
      </c>
      <c r="J187" s="21" t="str">
        <f aca="false">IF($E187="","",IF(Ajustes!$B$6="Sí",MAX(0,ROUND($E187*Ajustes!$B$5-$H187,2)),0))</f>
        <v/>
      </c>
      <c r="K187" s="21" t="str">
        <f aca="false">IF($E187="","",$G187+$J187)</f>
        <v/>
      </c>
      <c r="L187" s="21" t="str">
        <f aca="false">IF($E187="","",$I187-$K187)</f>
        <v/>
      </c>
      <c r="M187" s="22" t="str">
        <f aca="false">IF($A187="","",YEAR($A187))</f>
        <v/>
      </c>
      <c r="N187" s="22" t="str">
        <f aca="false">IF($A187="","",ROUNDUP(MONTH($A187)/3,0))</f>
        <v/>
      </c>
    </row>
    <row r="188" customFormat="false" ht="15" hidden="false" customHeight="false" outlineLevel="0" collapsed="false">
      <c r="A188" s="18"/>
      <c r="B188" s="19"/>
      <c r="C188" s="19"/>
      <c r="D188" s="19"/>
      <c r="E188" s="14"/>
      <c r="F188" s="20"/>
      <c r="G188" s="21" t="str">
        <f aca="false">IF($E188="","",ROUND($E188*Ajustes!$B$4,2))</f>
        <v/>
      </c>
      <c r="H188" s="21" t="str">
        <f aca="false">IF($E188="","",ROUND($E188*N($F188),2))</f>
        <v/>
      </c>
      <c r="I188" s="21" t="str">
        <f aca="false">IF($E188="","",$E188+$G188-$H188)</f>
        <v/>
      </c>
      <c r="J188" s="21" t="str">
        <f aca="false">IF($E188="","",IF(Ajustes!$B$6="Sí",MAX(0,ROUND($E188*Ajustes!$B$5-$H188,2)),0))</f>
        <v/>
      </c>
      <c r="K188" s="21" t="str">
        <f aca="false">IF($E188="","",$G188+$J188)</f>
        <v/>
      </c>
      <c r="L188" s="21" t="str">
        <f aca="false">IF($E188="","",$I188-$K188)</f>
        <v/>
      </c>
      <c r="M188" s="22" t="str">
        <f aca="false">IF($A188="","",YEAR($A188))</f>
        <v/>
      </c>
      <c r="N188" s="22" t="str">
        <f aca="false">IF($A188="","",ROUNDUP(MONTH($A188)/3,0))</f>
        <v/>
      </c>
    </row>
    <row r="189" customFormat="false" ht="15" hidden="false" customHeight="false" outlineLevel="0" collapsed="false">
      <c r="A189" s="18"/>
      <c r="B189" s="19"/>
      <c r="C189" s="19"/>
      <c r="D189" s="19"/>
      <c r="E189" s="14"/>
      <c r="F189" s="20"/>
      <c r="G189" s="21" t="str">
        <f aca="false">IF($E189="","",ROUND($E189*Ajustes!$B$4,2))</f>
        <v/>
      </c>
      <c r="H189" s="21" t="str">
        <f aca="false">IF($E189="","",ROUND($E189*N($F189),2))</f>
        <v/>
      </c>
      <c r="I189" s="21" t="str">
        <f aca="false">IF($E189="","",$E189+$G189-$H189)</f>
        <v/>
      </c>
      <c r="J189" s="21" t="str">
        <f aca="false">IF($E189="","",IF(Ajustes!$B$6="Sí",MAX(0,ROUND($E189*Ajustes!$B$5-$H189,2)),0))</f>
        <v/>
      </c>
      <c r="K189" s="21" t="str">
        <f aca="false">IF($E189="","",$G189+$J189)</f>
        <v/>
      </c>
      <c r="L189" s="21" t="str">
        <f aca="false">IF($E189="","",$I189-$K189)</f>
        <v/>
      </c>
      <c r="M189" s="22" t="str">
        <f aca="false">IF($A189="","",YEAR($A189))</f>
        <v/>
      </c>
      <c r="N189" s="22" t="str">
        <f aca="false">IF($A189="","",ROUNDUP(MONTH($A189)/3,0))</f>
        <v/>
      </c>
    </row>
    <row r="190" customFormat="false" ht="15" hidden="false" customHeight="false" outlineLevel="0" collapsed="false">
      <c r="A190" s="18"/>
      <c r="B190" s="19"/>
      <c r="C190" s="19"/>
      <c r="D190" s="19"/>
      <c r="E190" s="14"/>
      <c r="F190" s="20"/>
      <c r="G190" s="21" t="str">
        <f aca="false">IF($E190="","",ROUND($E190*Ajustes!$B$4,2))</f>
        <v/>
      </c>
      <c r="H190" s="21" t="str">
        <f aca="false">IF($E190="","",ROUND($E190*N($F190),2))</f>
        <v/>
      </c>
      <c r="I190" s="21" t="str">
        <f aca="false">IF($E190="","",$E190+$G190-$H190)</f>
        <v/>
      </c>
      <c r="J190" s="21" t="str">
        <f aca="false">IF($E190="","",IF(Ajustes!$B$6="Sí",MAX(0,ROUND($E190*Ajustes!$B$5-$H190,2)),0))</f>
        <v/>
      </c>
      <c r="K190" s="21" t="str">
        <f aca="false">IF($E190="","",$G190+$J190)</f>
        <v/>
      </c>
      <c r="L190" s="21" t="str">
        <f aca="false">IF($E190="","",$I190-$K190)</f>
        <v/>
      </c>
      <c r="M190" s="22" t="str">
        <f aca="false">IF($A190="","",YEAR($A190))</f>
        <v/>
      </c>
      <c r="N190" s="22" t="str">
        <f aca="false">IF($A190="","",ROUNDUP(MONTH($A190)/3,0))</f>
        <v/>
      </c>
    </row>
    <row r="191" customFormat="false" ht="15" hidden="false" customHeight="false" outlineLevel="0" collapsed="false">
      <c r="A191" s="18"/>
      <c r="B191" s="19"/>
      <c r="C191" s="19"/>
      <c r="D191" s="19"/>
      <c r="E191" s="14"/>
      <c r="F191" s="20"/>
      <c r="G191" s="21" t="str">
        <f aca="false">IF($E191="","",ROUND($E191*Ajustes!$B$4,2))</f>
        <v/>
      </c>
      <c r="H191" s="21" t="str">
        <f aca="false">IF($E191="","",ROUND($E191*N($F191),2))</f>
        <v/>
      </c>
      <c r="I191" s="21" t="str">
        <f aca="false">IF($E191="","",$E191+$G191-$H191)</f>
        <v/>
      </c>
      <c r="J191" s="21" t="str">
        <f aca="false">IF($E191="","",IF(Ajustes!$B$6="Sí",MAX(0,ROUND($E191*Ajustes!$B$5-$H191,2)),0))</f>
        <v/>
      </c>
      <c r="K191" s="21" t="str">
        <f aca="false">IF($E191="","",$G191+$J191)</f>
        <v/>
      </c>
      <c r="L191" s="21" t="str">
        <f aca="false">IF($E191="","",$I191-$K191)</f>
        <v/>
      </c>
      <c r="M191" s="22" t="str">
        <f aca="false">IF($A191="","",YEAR($A191))</f>
        <v/>
      </c>
      <c r="N191" s="22" t="str">
        <f aca="false">IF($A191="","",ROUNDUP(MONTH($A191)/3,0))</f>
        <v/>
      </c>
    </row>
    <row r="192" customFormat="false" ht="15" hidden="false" customHeight="false" outlineLevel="0" collapsed="false">
      <c r="A192" s="18"/>
      <c r="B192" s="19"/>
      <c r="C192" s="19"/>
      <c r="D192" s="19"/>
      <c r="E192" s="14"/>
      <c r="F192" s="20"/>
      <c r="G192" s="21" t="str">
        <f aca="false">IF($E192="","",ROUND($E192*Ajustes!$B$4,2))</f>
        <v/>
      </c>
      <c r="H192" s="21" t="str">
        <f aca="false">IF($E192="","",ROUND($E192*N($F192),2))</f>
        <v/>
      </c>
      <c r="I192" s="21" t="str">
        <f aca="false">IF($E192="","",$E192+$G192-$H192)</f>
        <v/>
      </c>
      <c r="J192" s="21" t="str">
        <f aca="false">IF($E192="","",IF(Ajustes!$B$6="Sí",MAX(0,ROUND($E192*Ajustes!$B$5-$H192,2)),0))</f>
        <v/>
      </c>
      <c r="K192" s="21" t="str">
        <f aca="false">IF($E192="","",$G192+$J192)</f>
        <v/>
      </c>
      <c r="L192" s="21" t="str">
        <f aca="false">IF($E192="","",$I192-$K192)</f>
        <v/>
      </c>
      <c r="M192" s="22" t="str">
        <f aca="false">IF($A192="","",YEAR($A192))</f>
        <v/>
      </c>
      <c r="N192" s="22" t="str">
        <f aca="false">IF($A192="","",ROUNDUP(MONTH($A192)/3,0))</f>
        <v/>
      </c>
    </row>
    <row r="193" customFormat="false" ht="15" hidden="false" customHeight="false" outlineLevel="0" collapsed="false">
      <c r="A193" s="18"/>
      <c r="B193" s="19"/>
      <c r="C193" s="19"/>
      <c r="D193" s="19"/>
      <c r="E193" s="14"/>
      <c r="F193" s="20"/>
      <c r="G193" s="21" t="str">
        <f aca="false">IF($E193="","",ROUND($E193*Ajustes!$B$4,2))</f>
        <v/>
      </c>
      <c r="H193" s="21" t="str">
        <f aca="false">IF($E193="","",ROUND($E193*N($F193),2))</f>
        <v/>
      </c>
      <c r="I193" s="21" t="str">
        <f aca="false">IF($E193="","",$E193+$G193-$H193)</f>
        <v/>
      </c>
      <c r="J193" s="21" t="str">
        <f aca="false">IF($E193="","",IF(Ajustes!$B$6="Sí",MAX(0,ROUND($E193*Ajustes!$B$5-$H193,2)),0))</f>
        <v/>
      </c>
      <c r="K193" s="21" t="str">
        <f aca="false">IF($E193="","",$G193+$J193)</f>
        <v/>
      </c>
      <c r="L193" s="21" t="str">
        <f aca="false">IF($E193="","",$I193-$K193)</f>
        <v/>
      </c>
      <c r="M193" s="22" t="str">
        <f aca="false">IF($A193="","",YEAR($A193))</f>
        <v/>
      </c>
      <c r="N193" s="22" t="str">
        <f aca="false">IF($A193="","",ROUNDUP(MONTH($A193)/3,0))</f>
        <v/>
      </c>
    </row>
    <row r="194" customFormat="false" ht="15" hidden="false" customHeight="false" outlineLevel="0" collapsed="false">
      <c r="A194" s="18"/>
      <c r="B194" s="19"/>
      <c r="C194" s="19"/>
      <c r="D194" s="19"/>
      <c r="E194" s="14"/>
      <c r="F194" s="20"/>
      <c r="G194" s="21" t="str">
        <f aca="false">IF($E194="","",ROUND($E194*Ajustes!$B$4,2))</f>
        <v/>
      </c>
      <c r="H194" s="21" t="str">
        <f aca="false">IF($E194="","",ROUND($E194*N($F194),2))</f>
        <v/>
      </c>
      <c r="I194" s="21" t="str">
        <f aca="false">IF($E194="","",$E194+$G194-$H194)</f>
        <v/>
      </c>
      <c r="J194" s="21" t="str">
        <f aca="false">IF($E194="","",IF(Ajustes!$B$6="Sí",MAX(0,ROUND($E194*Ajustes!$B$5-$H194,2)),0))</f>
        <v/>
      </c>
      <c r="K194" s="21" t="str">
        <f aca="false">IF($E194="","",$G194+$J194)</f>
        <v/>
      </c>
      <c r="L194" s="21" t="str">
        <f aca="false">IF($E194="","",$I194-$K194)</f>
        <v/>
      </c>
      <c r="M194" s="22" t="str">
        <f aca="false">IF($A194="","",YEAR($A194))</f>
        <v/>
      </c>
      <c r="N194" s="22" t="str">
        <f aca="false">IF($A194="","",ROUNDUP(MONTH($A194)/3,0))</f>
        <v/>
      </c>
    </row>
    <row r="195" customFormat="false" ht="15" hidden="false" customHeight="false" outlineLevel="0" collapsed="false">
      <c r="A195" s="18"/>
      <c r="B195" s="19"/>
      <c r="C195" s="19"/>
      <c r="D195" s="19"/>
      <c r="E195" s="14"/>
      <c r="F195" s="20"/>
      <c r="G195" s="21" t="str">
        <f aca="false">IF($E195="","",ROUND($E195*Ajustes!$B$4,2))</f>
        <v/>
      </c>
      <c r="H195" s="21" t="str">
        <f aca="false">IF($E195="","",ROUND($E195*N($F195),2))</f>
        <v/>
      </c>
      <c r="I195" s="21" t="str">
        <f aca="false">IF($E195="","",$E195+$G195-$H195)</f>
        <v/>
      </c>
      <c r="J195" s="21" t="str">
        <f aca="false">IF($E195="","",IF(Ajustes!$B$6="Sí",MAX(0,ROUND($E195*Ajustes!$B$5-$H195,2)),0))</f>
        <v/>
      </c>
      <c r="K195" s="21" t="str">
        <f aca="false">IF($E195="","",$G195+$J195)</f>
        <v/>
      </c>
      <c r="L195" s="21" t="str">
        <f aca="false">IF($E195="","",$I195-$K195)</f>
        <v/>
      </c>
      <c r="M195" s="22" t="str">
        <f aca="false">IF($A195="","",YEAR($A195))</f>
        <v/>
      </c>
      <c r="N195" s="22" t="str">
        <f aca="false">IF($A195="","",ROUNDUP(MONTH($A195)/3,0))</f>
        <v/>
      </c>
    </row>
    <row r="196" customFormat="false" ht="15" hidden="false" customHeight="false" outlineLevel="0" collapsed="false">
      <c r="A196" s="18"/>
      <c r="B196" s="19"/>
      <c r="C196" s="19"/>
      <c r="D196" s="19"/>
      <c r="E196" s="14"/>
      <c r="F196" s="20"/>
      <c r="G196" s="21" t="str">
        <f aca="false">IF($E196="","",ROUND($E196*Ajustes!$B$4,2))</f>
        <v/>
      </c>
      <c r="H196" s="21" t="str">
        <f aca="false">IF($E196="","",ROUND($E196*N($F196),2))</f>
        <v/>
      </c>
      <c r="I196" s="21" t="str">
        <f aca="false">IF($E196="","",$E196+$G196-$H196)</f>
        <v/>
      </c>
      <c r="J196" s="21" t="str">
        <f aca="false">IF($E196="","",IF(Ajustes!$B$6="Sí",MAX(0,ROUND($E196*Ajustes!$B$5-$H196,2)),0))</f>
        <v/>
      </c>
      <c r="K196" s="21" t="str">
        <f aca="false">IF($E196="","",$G196+$J196)</f>
        <v/>
      </c>
      <c r="L196" s="21" t="str">
        <f aca="false">IF($E196="","",$I196-$K196)</f>
        <v/>
      </c>
      <c r="M196" s="22" t="str">
        <f aca="false">IF($A196="","",YEAR($A196))</f>
        <v/>
      </c>
      <c r="N196" s="22" t="str">
        <f aca="false">IF($A196="","",ROUNDUP(MONTH($A196)/3,0))</f>
        <v/>
      </c>
    </row>
    <row r="197" customFormat="false" ht="15" hidden="false" customHeight="false" outlineLevel="0" collapsed="false">
      <c r="A197" s="18"/>
      <c r="B197" s="19"/>
      <c r="C197" s="19"/>
      <c r="D197" s="19"/>
      <c r="E197" s="14"/>
      <c r="F197" s="20"/>
      <c r="G197" s="21" t="str">
        <f aca="false">IF($E197="","",ROUND($E197*Ajustes!$B$4,2))</f>
        <v/>
      </c>
      <c r="H197" s="21" t="str">
        <f aca="false">IF($E197="","",ROUND($E197*N($F197),2))</f>
        <v/>
      </c>
      <c r="I197" s="21" t="str">
        <f aca="false">IF($E197="","",$E197+$G197-$H197)</f>
        <v/>
      </c>
      <c r="J197" s="21" t="str">
        <f aca="false">IF($E197="","",IF(Ajustes!$B$6="Sí",MAX(0,ROUND($E197*Ajustes!$B$5-$H197,2)),0))</f>
        <v/>
      </c>
      <c r="K197" s="21" t="str">
        <f aca="false">IF($E197="","",$G197+$J197)</f>
        <v/>
      </c>
      <c r="L197" s="21" t="str">
        <f aca="false">IF($E197="","",$I197-$K197)</f>
        <v/>
      </c>
      <c r="M197" s="22" t="str">
        <f aca="false">IF($A197="","",YEAR($A197))</f>
        <v/>
      </c>
      <c r="N197" s="22" t="str">
        <f aca="false">IF($A197="","",ROUNDUP(MONTH($A197)/3,0))</f>
        <v/>
      </c>
    </row>
    <row r="198" customFormat="false" ht="15" hidden="false" customHeight="false" outlineLevel="0" collapsed="false">
      <c r="A198" s="18"/>
      <c r="B198" s="19"/>
      <c r="C198" s="19"/>
      <c r="D198" s="19"/>
      <c r="E198" s="14"/>
      <c r="F198" s="20"/>
      <c r="G198" s="21" t="str">
        <f aca="false">IF($E198="","",ROUND($E198*Ajustes!$B$4,2))</f>
        <v/>
      </c>
      <c r="H198" s="21" t="str">
        <f aca="false">IF($E198="","",ROUND($E198*N($F198),2))</f>
        <v/>
      </c>
      <c r="I198" s="21" t="str">
        <f aca="false">IF($E198="","",$E198+$G198-$H198)</f>
        <v/>
      </c>
      <c r="J198" s="21" t="str">
        <f aca="false">IF($E198="","",IF(Ajustes!$B$6="Sí",MAX(0,ROUND($E198*Ajustes!$B$5-$H198,2)),0))</f>
        <v/>
      </c>
      <c r="K198" s="21" t="str">
        <f aca="false">IF($E198="","",$G198+$J198)</f>
        <v/>
      </c>
      <c r="L198" s="21" t="str">
        <f aca="false">IF($E198="","",$I198-$K198)</f>
        <v/>
      </c>
      <c r="M198" s="22" t="str">
        <f aca="false">IF($A198="","",YEAR($A198))</f>
        <v/>
      </c>
      <c r="N198" s="22" t="str">
        <f aca="false">IF($A198="","",ROUNDUP(MONTH($A198)/3,0))</f>
        <v/>
      </c>
    </row>
    <row r="199" customFormat="false" ht="15" hidden="false" customHeight="false" outlineLevel="0" collapsed="false">
      <c r="A199" s="18"/>
      <c r="B199" s="19"/>
      <c r="C199" s="19"/>
      <c r="D199" s="19"/>
      <c r="E199" s="14"/>
      <c r="F199" s="20"/>
      <c r="G199" s="21" t="str">
        <f aca="false">IF($E199="","",ROUND($E199*Ajustes!$B$4,2))</f>
        <v/>
      </c>
      <c r="H199" s="21" t="str">
        <f aca="false">IF($E199="","",ROUND($E199*N($F199),2))</f>
        <v/>
      </c>
      <c r="I199" s="21" t="str">
        <f aca="false">IF($E199="","",$E199+$G199-$H199)</f>
        <v/>
      </c>
      <c r="J199" s="21" t="str">
        <f aca="false">IF($E199="","",IF(Ajustes!$B$6="Sí",MAX(0,ROUND($E199*Ajustes!$B$5-$H199,2)),0))</f>
        <v/>
      </c>
      <c r="K199" s="21" t="str">
        <f aca="false">IF($E199="","",$G199+$J199)</f>
        <v/>
      </c>
      <c r="L199" s="21" t="str">
        <f aca="false">IF($E199="","",$I199-$K199)</f>
        <v/>
      </c>
      <c r="M199" s="22" t="str">
        <f aca="false">IF($A199="","",YEAR($A199))</f>
        <v/>
      </c>
      <c r="N199" s="22" t="str">
        <f aca="false">IF($A199="","",ROUNDUP(MONTH($A199)/3,0))</f>
        <v/>
      </c>
    </row>
    <row r="200" customFormat="false" ht="15" hidden="false" customHeight="false" outlineLevel="0" collapsed="false">
      <c r="A200" s="18"/>
      <c r="B200" s="19"/>
      <c r="C200" s="19"/>
      <c r="D200" s="19"/>
      <c r="E200" s="14"/>
      <c r="F200" s="20"/>
      <c r="G200" s="21" t="str">
        <f aca="false">IF($E200="","",ROUND($E200*Ajustes!$B$4,2))</f>
        <v/>
      </c>
      <c r="H200" s="21" t="str">
        <f aca="false">IF($E200="","",ROUND($E200*N($F200),2))</f>
        <v/>
      </c>
      <c r="I200" s="21" t="str">
        <f aca="false">IF($E200="","",$E200+$G200-$H200)</f>
        <v/>
      </c>
      <c r="J200" s="21" t="str">
        <f aca="false">IF($E200="","",IF(Ajustes!$B$6="Sí",MAX(0,ROUND($E200*Ajustes!$B$5-$H200,2)),0))</f>
        <v/>
      </c>
      <c r="K200" s="21" t="str">
        <f aca="false">IF($E200="","",$G200+$J200)</f>
        <v/>
      </c>
      <c r="L200" s="21" t="str">
        <f aca="false">IF($E200="","",$I200-$K200)</f>
        <v/>
      </c>
      <c r="M200" s="22" t="str">
        <f aca="false">IF($A200="","",YEAR($A200))</f>
        <v/>
      </c>
      <c r="N200" s="22" t="str">
        <f aca="false">IF($A200="","",ROUNDUP(MONTH($A200)/3,0))</f>
        <v/>
      </c>
    </row>
    <row r="201" customFormat="false" ht="15" hidden="false" customHeight="false" outlineLevel="0" collapsed="false">
      <c r="A201" s="18"/>
      <c r="B201" s="19"/>
      <c r="C201" s="19"/>
      <c r="D201" s="19"/>
      <c r="E201" s="14"/>
      <c r="F201" s="20"/>
      <c r="G201" s="21" t="str">
        <f aca="false">IF($E201="","",ROUND($E201*Ajustes!$B$4,2))</f>
        <v/>
      </c>
      <c r="H201" s="21" t="str">
        <f aca="false">IF($E201="","",ROUND($E201*N($F201),2))</f>
        <v/>
      </c>
      <c r="I201" s="21" t="str">
        <f aca="false">IF($E201="","",$E201+$G201-$H201)</f>
        <v/>
      </c>
      <c r="J201" s="21" t="str">
        <f aca="false">IF($E201="","",IF(Ajustes!$B$6="Sí",MAX(0,ROUND($E201*Ajustes!$B$5-$H201,2)),0))</f>
        <v/>
      </c>
      <c r="K201" s="21" t="str">
        <f aca="false">IF($E201="","",$G201+$J201)</f>
        <v/>
      </c>
      <c r="L201" s="21" t="str">
        <f aca="false">IF($E201="","",$I201-$K201)</f>
        <v/>
      </c>
      <c r="M201" s="22" t="str">
        <f aca="false">IF($A201="","",YEAR($A201))</f>
        <v/>
      </c>
      <c r="N201" s="22" t="str">
        <f aca="false">IF($A201="","",ROUNDUP(MONTH($A201)/3,0))</f>
        <v/>
      </c>
    </row>
    <row r="202" customFormat="false" ht="15" hidden="false" customHeight="false" outlineLevel="0" collapsed="false">
      <c r="A202" s="18"/>
      <c r="B202" s="19"/>
      <c r="C202" s="19"/>
      <c r="D202" s="19"/>
      <c r="E202" s="14"/>
      <c r="F202" s="20"/>
      <c r="G202" s="21" t="str">
        <f aca="false">IF($E202="","",ROUND($E202*Ajustes!$B$4,2))</f>
        <v/>
      </c>
      <c r="H202" s="21" t="str">
        <f aca="false">IF($E202="","",ROUND($E202*N($F202),2))</f>
        <v/>
      </c>
      <c r="I202" s="21" t="str">
        <f aca="false">IF($E202="","",$E202+$G202-$H202)</f>
        <v/>
      </c>
      <c r="J202" s="21" t="str">
        <f aca="false">IF($E202="","",IF(Ajustes!$B$6="Sí",MAX(0,ROUND($E202*Ajustes!$B$5-$H202,2)),0))</f>
        <v/>
      </c>
      <c r="K202" s="21" t="str">
        <f aca="false">IF($E202="","",$G202+$J202)</f>
        <v/>
      </c>
      <c r="L202" s="21" t="str">
        <f aca="false">IF($E202="","",$I202-$K202)</f>
        <v/>
      </c>
      <c r="M202" s="22" t="str">
        <f aca="false">IF($A202="","",YEAR($A202))</f>
        <v/>
      </c>
      <c r="N202" s="22" t="str">
        <f aca="false">IF($A202="","",ROUNDUP(MONTH($A202)/3,0))</f>
        <v/>
      </c>
    </row>
    <row r="203" customFormat="false" ht="15" hidden="false" customHeight="false" outlineLevel="0" collapsed="false">
      <c r="A203" s="18"/>
      <c r="B203" s="19"/>
      <c r="C203" s="19"/>
      <c r="D203" s="19"/>
      <c r="E203" s="14"/>
      <c r="F203" s="20"/>
      <c r="G203" s="21" t="str">
        <f aca="false">IF($E203="","",ROUND($E203*Ajustes!$B$4,2))</f>
        <v/>
      </c>
      <c r="H203" s="21" t="str">
        <f aca="false">IF($E203="","",ROUND($E203*N($F203),2))</f>
        <v/>
      </c>
      <c r="I203" s="21" t="str">
        <f aca="false">IF($E203="","",$E203+$G203-$H203)</f>
        <v/>
      </c>
      <c r="J203" s="21" t="str">
        <f aca="false">IF($E203="","",IF(Ajustes!$B$6="Sí",MAX(0,ROUND($E203*Ajustes!$B$5-$H203,2)),0))</f>
        <v/>
      </c>
      <c r="K203" s="21" t="str">
        <f aca="false">IF($E203="","",$G203+$J203)</f>
        <v/>
      </c>
      <c r="L203" s="21" t="str">
        <f aca="false">IF($E203="","",$I203-$K203)</f>
        <v/>
      </c>
      <c r="M203" s="22" t="str">
        <f aca="false">IF($A203="","",YEAR($A203))</f>
        <v/>
      </c>
      <c r="N203" s="22" t="str">
        <f aca="false">IF($A203="","",ROUNDUP(MONTH($A203)/3,0))</f>
        <v/>
      </c>
    </row>
    <row r="204" customFormat="false" ht="15" hidden="false" customHeight="false" outlineLevel="0" collapsed="false">
      <c r="A204" s="18"/>
      <c r="B204" s="19"/>
      <c r="C204" s="19"/>
      <c r="D204" s="19"/>
      <c r="E204" s="14"/>
      <c r="F204" s="20"/>
      <c r="G204" s="21" t="str">
        <f aca="false">IF($E204="","",ROUND($E204*Ajustes!$B$4,2))</f>
        <v/>
      </c>
      <c r="H204" s="21" t="str">
        <f aca="false">IF($E204="","",ROUND($E204*N($F204),2))</f>
        <v/>
      </c>
      <c r="I204" s="21" t="str">
        <f aca="false">IF($E204="","",$E204+$G204-$H204)</f>
        <v/>
      </c>
      <c r="J204" s="21" t="str">
        <f aca="false">IF($E204="","",IF(Ajustes!$B$6="Sí",MAX(0,ROUND($E204*Ajustes!$B$5-$H204,2)),0))</f>
        <v/>
      </c>
      <c r="K204" s="21" t="str">
        <f aca="false">IF($E204="","",$G204+$J204)</f>
        <v/>
      </c>
      <c r="L204" s="21" t="str">
        <f aca="false">IF($E204="","",$I204-$K204)</f>
        <v/>
      </c>
      <c r="M204" s="22" t="str">
        <f aca="false">IF($A204="","",YEAR($A204))</f>
        <v/>
      </c>
      <c r="N204" s="22" t="str">
        <f aca="false">IF($A204="","",ROUNDUP(MONTH($A204)/3,0))</f>
        <v/>
      </c>
    </row>
    <row r="205" customFormat="false" ht="15" hidden="false" customHeight="false" outlineLevel="0" collapsed="false">
      <c r="A205" s="18"/>
      <c r="B205" s="19"/>
      <c r="C205" s="19"/>
      <c r="D205" s="19"/>
      <c r="E205" s="14"/>
      <c r="F205" s="20"/>
      <c r="G205" s="21" t="str">
        <f aca="false">IF($E205="","",ROUND($E205*Ajustes!$B$4,2))</f>
        <v/>
      </c>
      <c r="H205" s="21" t="str">
        <f aca="false">IF($E205="","",ROUND($E205*N($F205),2))</f>
        <v/>
      </c>
      <c r="I205" s="21" t="str">
        <f aca="false">IF($E205="","",$E205+$G205-$H205)</f>
        <v/>
      </c>
      <c r="J205" s="21" t="str">
        <f aca="false">IF($E205="","",IF(Ajustes!$B$6="Sí",MAX(0,ROUND($E205*Ajustes!$B$5-$H205,2)),0))</f>
        <v/>
      </c>
      <c r="K205" s="21" t="str">
        <f aca="false">IF($E205="","",$G205+$J205)</f>
        <v/>
      </c>
      <c r="L205" s="21" t="str">
        <f aca="false">IF($E205="","",$I205-$K205)</f>
        <v/>
      </c>
      <c r="M205" s="22" t="str">
        <f aca="false">IF($A205="","",YEAR($A205))</f>
        <v/>
      </c>
      <c r="N205" s="22" t="str">
        <f aca="false">IF($A205="","",ROUNDUP(MONTH($A205)/3,0))</f>
        <v/>
      </c>
    </row>
  </sheetData>
  <dataValidations count="2">
    <dataValidation allowBlank="true" errorStyle="stop" operator="between" showDropDown="false" showErrorMessage="false" showInputMessage="false" sqref="F6:F205" type="list">
      <formula1>Ajustes!$B$9:$B$11</formula1>
      <formula2>0</formula2>
    </dataValidation>
    <dataValidation allowBlank="true" errorStyle="stop" operator="between" showDropDown="false" showErrorMessage="false" showInputMessage="false" sqref="D6:D205" type="list">
      <formula1>Ajustes!$A$14:$A$20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22B"/>
    <pageSetUpPr fitToPage="false"/>
  </sheetPr>
  <dimension ref="A1:I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7"/>
  </cols>
  <sheetData>
    <row r="1" customFormat="false" ht="17.35" hidden="false" customHeight="false" outlineLevel="0" collapsed="false">
      <c r="A1" s="5" t="s">
        <v>64</v>
      </c>
    </row>
    <row r="2" customFormat="false" ht="15" hidden="false" customHeight="false" outlineLevel="0" collapsed="false">
      <c r="A2" s="8" t="s">
        <v>65</v>
      </c>
    </row>
    <row r="4" customFormat="false" ht="15" hidden="false" customHeight="false" outlineLevel="0" collapsed="false">
      <c r="A4" s="15" t="s">
        <v>47</v>
      </c>
      <c r="D4" s="16" t="n">
        <f aca="false">SUM(D6:D205)</f>
        <v>92</v>
      </c>
      <c r="E4" s="16" t="n">
        <f aca="false">SUM(E6:E205)</f>
        <v>2.52</v>
      </c>
      <c r="G4" s="16" t="n">
        <f aca="false">SUM(G6:G205)</f>
        <v>94.52</v>
      </c>
    </row>
    <row r="5" customFormat="false" ht="36" hidden="false" customHeight="true" outlineLevel="0" collapsed="false">
      <c r="A5" s="17" t="s">
        <v>48</v>
      </c>
      <c r="B5" s="17" t="s">
        <v>66</v>
      </c>
      <c r="C5" s="17" t="s">
        <v>67</v>
      </c>
      <c r="D5" s="17" t="s">
        <v>68</v>
      </c>
      <c r="E5" s="17" t="s">
        <v>69</v>
      </c>
      <c r="F5" s="17" t="s">
        <v>70</v>
      </c>
      <c r="G5" s="17" t="s">
        <v>71</v>
      </c>
      <c r="H5" s="17" t="s">
        <v>60</v>
      </c>
      <c r="I5" s="17" t="s">
        <v>61</v>
      </c>
    </row>
    <row r="6" customFormat="false" ht="15" hidden="false" customHeight="false" outlineLevel="0" collapsed="false">
      <c r="A6" s="18" t="n">
        <v>46296</v>
      </c>
      <c r="B6" s="19" t="s">
        <v>72</v>
      </c>
      <c r="C6" s="19" t="s">
        <v>73</v>
      </c>
      <c r="D6" s="14" t="n">
        <v>80</v>
      </c>
      <c r="E6" s="14" t="n">
        <v>0</v>
      </c>
      <c r="F6" s="23" t="s">
        <v>29</v>
      </c>
      <c r="G6" s="21" t="n">
        <f aca="false">IF($D6="","",$D6+N($E6))</f>
        <v>80</v>
      </c>
      <c r="H6" s="22" t="n">
        <f aca="false">IF($A6="","",YEAR($A6))</f>
        <v>2026</v>
      </c>
      <c r="I6" s="22" t="n">
        <f aca="false">IF($A6="","",ROUNDUP(MONTH($A6)/3,0))</f>
        <v>4</v>
      </c>
    </row>
    <row r="7" customFormat="false" ht="15" hidden="false" customHeight="false" outlineLevel="0" collapsed="false">
      <c r="A7" s="18" t="n">
        <v>46300</v>
      </c>
      <c r="B7" s="19" t="s">
        <v>74</v>
      </c>
      <c r="C7" s="19" t="s">
        <v>75</v>
      </c>
      <c r="D7" s="14" t="n">
        <v>12</v>
      </c>
      <c r="E7" s="14" t="n">
        <v>2.52</v>
      </c>
      <c r="F7" s="23" t="s">
        <v>29</v>
      </c>
      <c r="G7" s="21" t="n">
        <f aca="false">IF($D7="","",$D7+N($E7))</f>
        <v>14.52</v>
      </c>
      <c r="H7" s="22" t="n">
        <f aca="false">IF($A7="","",YEAR($A7))</f>
        <v>2026</v>
      </c>
      <c r="I7" s="22" t="n">
        <f aca="false">IF($A7="","",ROUNDUP(MONTH($A7)/3,0))</f>
        <v>4</v>
      </c>
    </row>
    <row r="8" customFormat="false" ht="15" hidden="false" customHeight="false" outlineLevel="0" collapsed="false">
      <c r="A8" s="18"/>
      <c r="B8" s="19"/>
      <c r="C8" s="19"/>
      <c r="D8" s="14"/>
      <c r="E8" s="14"/>
      <c r="F8" s="23"/>
      <c r="G8" s="21" t="str">
        <f aca="false">IF($D8="","",$D8+N($E8))</f>
        <v/>
      </c>
      <c r="H8" s="22" t="str">
        <f aca="false">IF($A8="","",YEAR($A8))</f>
        <v/>
      </c>
      <c r="I8" s="22" t="str">
        <f aca="false">IF($A8="","",ROUNDUP(MONTH($A8)/3,0))</f>
        <v/>
      </c>
    </row>
    <row r="9" customFormat="false" ht="15" hidden="false" customHeight="false" outlineLevel="0" collapsed="false">
      <c r="A9" s="18"/>
      <c r="B9" s="19"/>
      <c r="C9" s="19"/>
      <c r="D9" s="14"/>
      <c r="E9" s="14"/>
      <c r="F9" s="23"/>
      <c r="G9" s="21" t="str">
        <f aca="false">IF($D9="","",$D9+N($E9))</f>
        <v/>
      </c>
      <c r="H9" s="22" t="str">
        <f aca="false">IF($A9="","",YEAR($A9))</f>
        <v/>
      </c>
      <c r="I9" s="22" t="str">
        <f aca="false">IF($A9="","",ROUNDUP(MONTH($A9)/3,0))</f>
        <v/>
      </c>
    </row>
    <row r="10" customFormat="false" ht="15" hidden="false" customHeight="false" outlineLevel="0" collapsed="false">
      <c r="A10" s="18"/>
      <c r="B10" s="19"/>
      <c r="C10" s="19"/>
      <c r="D10" s="14"/>
      <c r="E10" s="14"/>
      <c r="F10" s="23"/>
      <c r="G10" s="21" t="str">
        <f aca="false">IF($D10="","",$D10+N($E10))</f>
        <v/>
      </c>
      <c r="H10" s="22" t="str">
        <f aca="false">IF($A10="","",YEAR($A10))</f>
        <v/>
      </c>
      <c r="I10" s="22" t="str">
        <f aca="false">IF($A10="","",ROUNDUP(MONTH($A10)/3,0))</f>
        <v/>
      </c>
    </row>
    <row r="11" customFormat="false" ht="15" hidden="false" customHeight="false" outlineLevel="0" collapsed="false">
      <c r="A11" s="18"/>
      <c r="B11" s="19"/>
      <c r="C11" s="19"/>
      <c r="D11" s="14"/>
      <c r="E11" s="14"/>
      <c r="F11" s="23"/>
      <c r="G11" s="21" t="str">
        <f aca="false">IF($D11="","",$D11+N($E11))</f>
        <v/>
      </c>
      <c r="H11" s="22" t="str">
        <f aca="false">IF($A11="","",YEAR($A11))</f>
        <v/>
      </c>
      <c r="I11" s="22" t="str">
        <f aca="false">IF($A11="","",ROUNDUP(MONTH($A11)/3,0))</f>
        <v/>
      </c>
    </row>
    <row r="12" customFormat="false" ht="15" hidden="false" customHeight="false" outlineLevel="0" collapsed="false">
      <c r="A12" s="18"/>
      <c r="B12" s="19"/>
      <c r="C12" s="19"/>
      <c r="D12" s="14"/>
      <c r="E12" s="14"/>
      <c r="F12" s="23"/>
      <c r="G12" s="21" t="str">
        <f aca="false">IF($D12="","",$D12+N($E12))</f>
        <v/>
      </c>
      <c r="H12" s="22" t="str">
        <f aca="false">IF($A12="","",YEAR($A12))</f>
        <v/>
      </c>
      <c r="I12" s="22" t="str">
        <f aca="false">IF($A12="","",ROUNDUP(MONTH($A12)/3,0))</f>
        <v/>
      </c>
    </row>
    <row r="13" customFormat="false" ht="15" hidden="false" customHeight="false" outlineLevel="0" collapsed="false">
      <c r="A13" s="18"/>
      <c r="B13" s="19"/>
      <c r="C13" s="19"/>
      <c r="D13" s="14"/>
      <c r="E13" s="14"/>
      <c r="F13" s="23"/>
      <c r="G13" s="21" t="str">
        <f aca="false">IF($D13="","",$D13+N($E13))</f>
        <v/>
      </c>
      <c r="H13" s="22" t="str">
        <f aca="false">IF($A13="","",YEAR($A13))</f>
        <v/>
      </c>
      <c r="I13" s="22" t="str">
        <f aca="false">IF($A13="","",ROUNDUP(MONTH($A13)/3,0))</f>
        <v/>
      </c>
    </row>
    <row r="14" customFormat="false" ht="15" hidden="false" customHeight="false" outlineLevel="0" collapsed="false">
      <c r="A14" s="18"/>
      <c r="B14" s="19"/>
      <c r="C14" s="19"/>
      <c r="D14" s="14"/>
      <c r="E14" s="14"/>
      <c r="F14" s="23"/>
      <c r="G14" s="21" t="str">
        <f aca="false">IF($D14="","",$D14+N($E14))</f>
        <v/>
      </c>
      <c r="H14" s="22" t="str">
        <f aca="false">IF($A14="","",YEAR($A14))</f>
        <v/>
      </c>
      <c r="I14" s="22" t="str">
        <f aca="false">IF($A14="","",ROUNDUP(MONTH($A14)/3,0))</f>
        <v/>
      </c>
    </row>
    <row r="15" customFormat="false" ht="15" hidden="false" customHeight="false" outlineLevel="0" collapsed="false">
      <c r="A15" s="18"/>
      <c r="B15" s="19"/>
      <c r="C15" s="19"/>
      <c r="D15" s="14"/>
      <c r="E15" s="14"/>
      <c r="F15" s="23"/>
      <c r="G15" s="21" t="str">
        <f aca="false">IF($D15="","",$D15+N($E15))</f>
        <v/>
      </c>
      <c r="H15" s="22" t="str">
        <f aca="false">IF($A15="","",YEAR($A15))</f>
        <v/>
      </c>
      <c r="I15" s="22" t="str">
        <f aca="false">IF($A15="","",ROUNDUP(MONTH($A15)/3,0))</f>
        <v/>
      </c>
    </row>
    <row r="16" customFormat="false" ht="15" hidden="false" customHeight="false" outlineLevel="0" collapsed="false">
      <c r="A16" s="18"/>
      <c r="B16" s="19"/>
      <c r="C16" s="19"/>
      <c r="D16" s="14"/>
      <c r="E16" s="14"/>
      <c r="F16" s="23"/>
      <c r="G16" s="21" t="str">
        <f aca="false">IF($D16="","",$D16+N($E16))</f>
        <v/>
      </c>
      <c r="H16" s="22" t="str">
        <f aca="false">IF($A16="","",YEAR($A16))</f>
        <v/>
      </c>
      <c r="I16" s="22" t="str">
        <f aca="false">IF($A16="","",ROUNDUP(MONTH($A16)/3,0))</f>
        <v/>
      </c>
    </row>
    <row r="17" customFormat="false" ht="15" hidden="false" customHeight="false" outlineLevel="0" collapsed="false">
      <c r="A17" s="18"/>
      <c r="B17" s="19"/>
      <c r="C17" s="19"/>
      <c r="D17" s="14"/>
      <c r="E17" s="14"/>
      <c r="F17" s="23"/>
      <c r="G17" s="21" t="str">
        <f aca="false">IF($D17="","",$D17+N($E17))</f>
        <v/>
      </c>
      <c r="H17" s="22" t="str">
        <f aca="false">IF($A17="","",YEAR($A17))</f>
        <v/>
      </c>
      <c r="I17" s="22" t="str">
        <f aca="false">IF($A17="","",ROUNDUP(MONTH($A17)/3,0))</f>
        <v/>
      </c>
    </row>
    <row r="18" customFormat="false" ht="15" hidden="false" customHeight="false" outlineLevel="0" collapsed="false">
      <c r="A18" s="18"/>
      <c r="B18" s="19"/>
      <c r="C18" s="19"/>
      <c r="D18" s="14"/>
      <c r="E18" s="14"/>
      <c r="F18" s="23"/>
      <c r="G18" s="21" t="str">
        <f aca="false">IF($D18="","",$D18+N($E18))</f>
        <v/>
      </c>
      <c r="H18" s="22" t="str">
        <f aca="false">IF($A18="","",YEAR($A18))</f>
        <v/>
      </c>
      <c r="I18" s="22" t="str">
        <f aca="false">IF($A18="","",ROUNDUP(MONTH($A18)/3,0))</f>
        <v/>
      </c>
    </row>
    <row r="19" customFormat="false" ht="15" hidden="false" customHeight="false" outlineLevel="0" collapsed="false">
      <c r="A19" s="18"/>
      <c r="B19" s="19"/>
      <c r="C19" s="19"/>
      <c r="D19" s="14"/>
      <c r="E19" s="14"/>
      <c r="F19" s="23"/>
      <c r="G19" s="21" t="str">
        <f aca="false">IF($D19="","",$D19+N($E19))</f>
        <v/>
      </c>
      <c r="H19" s="22" t="str">
        <f aca="false">IF($A19="","",YEAR($A19))</f>
        <v/>
      </c>
      <c r="I19" s="22" t="str">
        <f aca="false">IF($A19="","",ROUNDUP(MONTH($A19)/3,0))</f>
        <v/>
      </c>
    </row>
    <row r="20" customFormat="false" ht="15" hidden="false" customHeight="false" outlineLevel="0" collapsed="false">
      <c r="A20" s="18"/>
      <c r="B20" s="19"/>
      <c r="C20" s="19"/>
      <c r="D20" s="14"/>
      <c r="E20" s="14"/>
      <c r="F20" s="23"/>
      <c r="G20" s="21" t="str">
        <f aca="false">IF($D20="","",$D20+N($E20))</f>
        <v/>
      </c>
      <c r="H20" s="22" t="str">
        <f aca="false">IF($A20="","",YEAR($A20))</f>
        <v/>
      </c>
      <c r="I20" s="22" t="str">
        <f aca="false">IF($A20="","",ROUNDUP(MONTH($A20)/3,0))</f>
        <v/>
      </c>
    </row>
    <row r="21" customFormat="false" ht="15" hidden="false" customHeight="false" outlineLevel="0" collapsed="false">
      <c r="A21" s="18"/>
      <c r="B21" s="19"/>
      <c r="C21" s="19"/>
      <c r="D21" s="14"/>
      <c r="E21" s="14"/>
      <c r="F21" s="23"/>
      <c r="G21" s="21" t="str">
        <f aca="false">IF($D21="","",$D21+N($E21))</f>
        <v/>
      </c>
      <c r="H21" s="22" t="str">
        <f aca="false">IF($A21="","",YEAR($A21))</f>
        <v/>
      </c>
      <c r="I21" s="22" t="str">
        <f aca="false">IF($A21="","",ROUNDUP(MONTH($A21)/3,0))</f>
        <v/>
      </c>
    </row>
    <row r="22" customFormat="false" ht="15" hidden="false" customHeight="false" outlineLevel="0" collapsed="false">
      <c r="A22" s="18"/>
      <c r="B22" s="19"/>
      <c r="C22" s="19"/>
      <c r="D22" s="14"/>
      <c r="E22" s="14"/>
      <c r="F22" s="23"/>
      <c r="G22" s="21" t="str">
        <f aca="false">IF($D22="","",$D22+N($E22))</f>
        <v/>
      </c>
      <c r="H22" s="22" t="str">
        <f aca="false">IF($A22="","",YEAR($A22))</f>
        <v/>
      </c>
      <c r="I22" s="22" t="str">
        <f aca="false">IF($A22="","",ROUNDUP(MONTH($A22)/3,0))</f>
        <v/>
      </c>
    </row>
    <row r="23" customFormat="false" ht="15" hidden="false" customHeight="false" outlineLevel="0" collapsed="false">
      <c r="A23" s="18"/>
      <c r="B23" s="19"/>
      <c r="C23" s="19"/>
      <c r="D23" s="14"/>
      <c r="E23" s="14"/>
      <c r="F23" s="23"/>
      <c r="G23" s="21" t="str">
        <f aca="false">IF($D23="","",$D23+N($E23))</f>
        <v/>
      </c>
      <c r="H23" s="22" t="str">
        <f aca="false">IF($A23="","",YEAR($A23))</f>
        <v/>
      </c>
      <c r="I23" s="22" t="str">
        <f aca="false">IF($A23="","",ROUNDUP(MONTH($A23)/3,0))</f>
        <v/>
      </c>
    </row>
    <row r="24" customFormat="false" ht="15" hidden="false" customHeight="false" outlineLevel="0" collapsed="false">
      <c r="A24" s="18"/>
      <c r="B24" s="19"/>
      <c r="C24" s="19"/>
      <c r="D24" s="14"/>
      <c r="E24" s="14"/>
      <c r="F24" s="23"/>
      <c r="G24" s="21" t="str">
        <f aca="false">IF($D24="","",$D24+N($E24))</f>
        <v/>
      </c>
      <c r="H24" s="22" t="str">
        <f aca="false">IF($A24="","",YEAR($A24))</f>
        <v/>
      </c>
      <c r="I24" s="22" t="str">
        <f aca="false">IF($A24="","",ROUNDUP(MONTH($A24)/3,0))</f>
        <v/>
      </c>
    </row>
    <row r="25" customFormat="false" ht="15" hidden="false" customHeight="false" outlineLevel="0" collapsed="false">
      <c r="A25" s="18"/>
      <c r="B25" s="19"/>
      <c r="C25" s="19"/>
      <c r="D25" s="14"/>
      <c r="E25" s="14"/>
      <c r="F25" s="23"/>
      <c r="G25" s="21" t="str">
        <f aca="false">IF($D25="","",$D25+N($E25))</f>
        <v/>
      </c>
      <c r="H25" s="22" t="str">
        <f aca="false">IF($A25="","",YEAR($A25))</f>
        <v/>
      </c>
      <c r="I25" s="22" t="str">
        <f aca="false">IF($A25="","",ROUNDUP(MONTH($A25)/3,0))</f>
        <v/>
      </c>
    </row>
    <row r="26" customFormat="false" ht="15" hidden="false" customHeight="false" outlineLevel="0" collapsed="false">
      <c r="A26" s="18"/>
      <c r="B26" s="19"/>
      <c r="C26" s="19"/>
      <c r="D26" s="14"/>
      <c r="E26" s="14"/>
      <c r="F26" s="23"/>
      <c r="G26" s="21" t="str">
        <f aca="false">IF($D26="","",$D26+N($E26))</f>
        <v/>
      </c>
      <c r="H26" s="22" t="str">
        <f aca="false">IF($A26="","",YEAR($A26))</f>
        <v/>
      </c>
      <c r="I26" s="22" t="str">
        <f aca="false">IF($A26="","",ROUNDUP(MONTH($A26)/3,0))</f>
        <v/>
      </c>
    </row>
    <row r="27" customFormat="false" ht="15" hidden="false" customHeight="false" outlineLevel="0" collapsed="false">
      <c r="A27" s="18"/>
      <c r="B27" s="19"/>
      <c r="C27" s="19"/>
      <c r="D27" s="14"/>
      <c r="E27" s="14"/>
      <c r="F27" s="23"/>
      <c r="G27" s="21" t="str">
        <f aca="false">IF($D27="","",$D27+N($E27))</f>
        <v/>
      </c>
      <c r="H27" s="22" t="str">
        <f aca="false">IF($A27="","",YEAR($A27))</f>
        <v/>
      </c>
      <c r="I27" s="22" t="str">
        <f aca="false">IF($A27="","",ROUNDUP(MONTH($A27)/3,0))</f>
        <v/>
      </c>
    </row>
    <row r="28" customFormat="false" ht="15" hidden="false" customHeight="false" outlineLevel="0" collapsed="false">
      <c r="A28" s="18"/>
      <c r="B28" s="19"/>
      <c r="C28" s="19"/>
      <c r="D28" s="14"/>
      <c r="E28" s="14"/>
      <c r="F28" s="23"/>
      <c r="G28" s="21" t="str">
        <f aca="false">IF($D28="","",$D28+N($E28))</f>
        <v/>
      </c>
      <c r="H28" s="22" t="str">
        <f aca="false">IF($A28="","",YEAR($A28))</f>
        <v/>
      </c>
      <c r="I28" s="22" t="str">
        <f aca="false">IF($A28="","",ROUNDUP(MONTH($A28)/3,0))</f>
        <v/>
      </c>
    </row>
    <row r="29" customFormat="false" ht="15" hidden="false" customHeight="false" outlineLevel="0" collapsed="false">
      <c r="A29" s="18"/>
      <c r="B29" s="19"/>
      <c r="C29" s="19"/>
      <c r="D29" s="14"/>
      <c r="E29" s="14"/>
      <c r="F29" s="23"/>
      <c r="G29" s="21" t="str">
        <f aca="false">IF($D29="","",$D29+N($E29))</f>
        <v/>
      </c>
      <c r="H29" s="22" t="str">
        <f aca="false">IF($A29="","",YEAR($A29))</f>
        <v/>
      </c>
      <c r="I29" s="22" t="str">
        <f aca="false">IF($A29="","",ROUNDUP(MONTH($A29)/3,0))</f>
        <v/>
      </c>
    </row>
    <row r="30" customFormat="false" ht="15" hidden="false" customHeight="false" outlineLevel="0" collapsed="false">
      <c r="A30" s="18"/>
      <c r="B30" s="19"/>
      <c r="C30" s="19"/>
      <c r="D30" s="14"/>
      <c r="E30" s="14"/>
      <c r="F30" s="23"/>
      <c r="G30" s="21" t="str">
        <f aca="false">IF($D30="","",$D30+N($E30))</f>
        <v/>
      </c>
      <c r="H30" s="22" t="str">
        <f aca="false">IF($A30="","",YEAR($A30))</f>
        <v/>
      </c>
      <c r="I30" s="22" t="str">
        <f aca="false">IF($A30="","",ROUNDUP(MONTH($A30)/3,0))</f>
        <v/>
      </c>
    </row>
    <row r="31" customFormat="false" ht="15" hidden="false" customHeight="false" outlineLevel="0" collapsed="false">
      <c r="A31" s="18"/>
      <c r="B31" s="19"/>
      <c r="C31" s="19"/>
      <c r="D31" s="14"/>
      <c r="E31" s="14"/>
      <c r="F31" s="23"/>
      <c r="G31" s="21" t="str">
        <f aca="false">IF($D31="","",$D31+N($E31))</f>
        <v/>
      </c>
      <c r="H31" s="22" t="str">
        <f aca="false">IF($A31="","",YEAR($A31))</f>
        <v/>
      </c>
      <c r="I31" s="22" t="str">
        <f aca="false">IF($A31="","",ROUNDUP(MONTH($A31)/3,0))</f>
        <v/>
      </c>
    </row>
    <row r="32" customFormat="false" ht="15" hidden="false" customHeight="false" outlineLevel="0" collapsed="false">
      <c r="A32" s="18"/>
      <c r="B32" s="19"/>
      <c r="C32" s="19"/>
      <c r="D32" s="14"/>
      <c r="E32" s="14"/>
      <c r="F32" s="23"/>
      <c r="G32" s="21" t="str">
        <f aca="false">IF($D32="","",$D32+N($E32))</f>
        <v/>
      </c>
      <c r="H32" s="22" t="str">
        <f aca="false">IF($A32="","",YEAR($A32))</f>
        <v/>
      </c>
      <c r="I32" s="22" t="str">
        <f aca="false">IF($A32="","",ROUNDUP(MONTH($A32)/3,0))</f>
        <v/>
      </c>
    </row>
    <row r="33" customFormat="false" ht="15" hidden="false" customHeight="false" outlineLevel="0" collapsed="false">
      <c r="A33" s="18"/>
      <c r="B33" s="19"/>
      <c r="C33" s="19"/>
      <c r="D33" s="14"/>
      <c r="E33" s="14"/>
      <c r="F33" s="23"/>
      <c r="G33" s="21" t="str">
        <f aca="false">IF($D33="","",$D33+N($E33))</f>
        <v/>
      </c>
      <c r="H33" s="22" t="str">
        <f aca="false">IF($A33="","",YEAR($A33))</f>
        <v/>
      </c>
      <c r="I33" s="22" t="str">
        <f aca="false">IF($A33="","",ROUNDUP(MONTH($A33)/3,0))</f>
        <v/>
      </c>
    </row>
    <row r="34" customFormat="false" ht="15" hidden="false" customHeight="false" outlineLevel="0" collapsed="false">
      <c r="A34" s="18"/>
      <c r="B34" s="19"/>
      <c r="C34" s="19"/>
      <c r="D34" s="14"/>
      <c r="E34" s="14"/>
      <c r="F34" s="23"/>
      <c r="G34" s="21" t="str">
        <f aca="false">IF($D34="","",$D34+N($E34))</f>
        <v/>
      </c>
      <c r="H34" s="22" t="str">
        <f aca="false">IF($A34="","",YEAR($A34))</f>
        <v/>
      </c>
      <c r="I34" s="22" t="str">
        <f aca="false">IF($A34="","",ROUNDUP(MONTH($A34)/3,0))</f>
        <v/>
      </c>
    </row>
    <row r="35" customFormat="false" ht="15" hidden="false" customHeight="false" outlineLevel="0" collapsed="false">
      <c r="A35" s="18"/>
      <c r="B35" s="19"/>
      <c r="C35" s="19"/>
      <c r="D35" s="14"/>
      <c r="E35" s="14"/>
      <c r="F35" s="23"/>
      <c r="G35" s="21" t="str">
        <f aca="false">IF($D35="","",$D35+N($E35))</f>
        <v/>
      </c>
      <c r="H35" s="22" t="str">
        <f aca="false">IF($A35="","",YEAR($A35))</f>
        <v/>
      </c>
      <c r="I35" s="22" t="str">
        <f aca="false">IF($A35="","",ROUNDUP(MONTH($A35)/3,0))</f>
        <v/>
      </c>
    </row>
    <row r="36" customFormat="false" ht="15" hidden="false" customHeight="false" outlineLevel="0" collapsed="false">
      <c r="A36" s="18"/>
      <c r="B36" s="19"/>
      <c r="C36" s="19"/>
      <c r="D36" s="14"/>
      <c r="E36" s="14"/>
      <c r="F36" s="23"/>
      <c r="G36" s="21" t="str">
        <f aca="false">IF($D36="","",$D36+N($E36))</f>
        <v/>
      </c>
      <c r="H36" s="22" t="str">
        <f aca="false">IF($A36="","",YEAR($A36))</f>
        <v/>
      </c>
      <c r="I36" s="22" t="str">
        <f aca="false">IF($A36="","",ROUNDUP(MONTH($A36)/3,0))</f>
        <v/>
      </c>
    </row>
    <row r="37" customFormat="false" ht="15" hidden="false" customHeight="false" outlineLevel="0" collapsed="false">
      <c r="A37" s="18"/>
      <c r="B37" s="19"/>
      <c r="C37" s="19"/>
      <c r="D37" s="14"/>
      <c r="E37" s="14"/>
      <c r="F37" s="23"/>
      <c r="G37" s="21" t="str">
        <f aca="false">IF($D37="","",$D37+N($E37))</f>
        <v/>
      </c>
      <c r="H37" s="22" t="str">
        <f aca="false">IF($A37="","",YEAR($A37))</f>
        <v/>
      </c>
      <c r="I37" s="22" t="str">
        <f aca="false">IF($A37="","",ROUNDUP(MONTH($A37)/3,0))</f>
        <v/>
      </c>
    </row>
    <row r="38" customFormat="false" ht="15" hidden="false" customHeight="false" outlineLevel="0" collapsed="false">
      <c r="A38" s="18"/>
      <c r="B38" s="19"/>
      <c r="C38" s="19"/>
      <c r="D38" s="14"/>
      <c r="E38" s="14"/>
      <c r="F38" s="23"/>
      <c r="G38" s="21" t="str">
        <f aca="false">IF($D38="","",$D38+N($E38))</f>
        <v/>
      </c>
      <c r="H38" s="22" t="str">
        <f aca="false">IF($A38="","",YEAR($A38))</f>
        <v/>
      </c>
      <c r="I38" s="22" t="str">
        <f aca="false">IF($A38="","",ROUNDUP(MONTH($A38)/3,0))</f>
        <v/>
      </c>
    </row>
    <row r="39" customFormat="false" ht="15" hidden="false" customHeight="false" outlineLevel="0" collapsed="false">
      <c r="A39" s="18"/>
      <c r="B39" s="19"/>
      <c r="C39" s="19"/>
      <c r="D39" s="14"/>
      <c r="E39" s="14"/>
      <c r="F39" s="23"/>
      <c r="G39" s="21" t="str">
        <f aca="false">IF($D39="","",$D39+N($E39))</f>
        <v/>
      </c>
      <c r="H39" s="22" t="str">
        <f aca="false">IF($A39="","",YEAR($A39))</f>
        <v/>
      </c>
      <c r="I39" s="22" t="str">
        <f aca="false">IF($A39="","",ROUNDUP(MONTH($A39)/3,0))</f>
        <v/>
      </c>
    </row>
    <row r="40" customFormat="false" ht="15" hidden="false" customHeight="false" outlineLevel="0" collapsed="false">
      <c r="A40" s="18"/>
      <c r="B40" s="19"/>
      <c r="C40" s="19"/>
      <c r="D40" s="14"/>
      <c r="E40" s="14"/>
      <c r="F40" s="23"/>
      <c r="G40" s="21" t="str">
        <f aca="false">IF($D40="","",$D40+N($E40))</f>
        <v/>
      </c>
      <c r="H40" s="22" t="str">
        <f aca="false">IF($A40="","",YEAR($A40))</f>
        <v/>
      </c>
      <c r="I40" s="22" t="str">
        <f aca="false">IF($A40="","",ROUNDUP(MONTH($A40)/3,0))</f>
        <v/>
      </c>
    </row>
    <row r="41" customFormat="false" ht="15" hidden="false" customHeight="false" outlineLevel="0" collapsed="false">
      <c r="A41" s="18"/>
      <c r="B41" s="19"/>
      <c r="C41" s="19"/>
      <c r="D41" s="14"/>
      <c r="E41" s="14"/>
      <c r="F41" s="23"/>
      <c r="G41" s="21" t="str">
        <f aca="false">IF($D41="","",$D41+N($E41))</f>
        <v/>
      </c>
      <c r="H41" s="22" t="str">
        <f aca="false">IF($A41="","",YEAR($A41))</f>
        <v/>
      </c>
      <c r="I41" s="22" t="str">
        <f aca="false">IF($A41="","",ROUNDUP(MONTH($A41)/3,0))</f>
        <v/>
      </c>
    </row>
    <row r="42" customFormat="false" ht="15" hidden="false" customHeight="false" outlineLevel="0" collapsed="false">
      <c r="A42" s="18"/>
      <c r="B42" s="19"/>
      <c r="C42" s="19"/>
      <c r="D42" s="14"/>
      <c r="E42" s="14"/>
      <c r="F42" s="23"/>
      <c r="G42" s="21" t="str">
        <f aca="false">IF($D42="","",$D42+N($E42))</f>
        <v/>
      </c>
      <c r="H42" s="22" t="str">
        <f aca="false">IF($A42="","",YEAR($A42))</f>
        <v/>
      </c>
      <c r="I42" s="22" t="str">
        <f aca="false">IF($A42="","",ROUNDUP(MONTH($A42)/3,0))</f>
        <v/>
      </c>
    </row>
    <row r="43" customFormat="false" ht="15" hidden="false" customHeight="false" outlineLevel="0" collapsed="false">
      <c r="A43" s="18"/>
      <c r="B43" s="19"/>
      <c r="C43" s="19"/>
      <c r="D43" s="14"/>
      <c r="E43" s="14"/>
      <c r="F43" s="23"/>
      <c r="G43" s="21" t="str">
        <f aca="false">IF($D43="","",$D43+N($E43))</f>
        <v/>
      </c>
      <c r="H43" s="22" t="str">
        <f aca="false">IF($A43="","",YEAR($A43))</f>
        <v/>
      </c>
      <c r="I43" s="22" t="str">
        <f aca="false">IF($A43="","",ROUNDUP(MONTH($A43)/3,0))</f>
        <v/>
      </c>
    </row>
    <row r="44" customFormat="false" ht="15" hidden="false" customHeight="false" outlineLevel="0" collapsed="false">
      <c r="A44" s="18"/>
      <c r="B44" s="19"/>
      <c r="C44" s="19"/>
      <c r="D44" s="14"/>
      <c r="E44" s="14"/>
      <c r="F44" s="23"/>
      <c r="G44" s="21" t="str">
        <f aca="false">IF($D44="","",$D44+N($E44))</f>
        <v/>
      </c>
      <c r="H44" s="22" t="str">
        <f aca="false">IF($A44="","",YEAR($A44))</f>
        <v/>
      </c>
      <c r="I44" s="22" t="str">
        <f aca="false">IF($A44="","",ROUNDUP(MONTH($A44)/3,0))</f>
        <v/>
      </c>
    </row>
    <row r="45" customFormat="false" ht="15" hidden="false" customHeight="false" outlineLevel="0" collapsed="false">
      <c r="A45" s="18"/>
      <c r="B45" s="19"/>
      <c r="C45" s="19"/>
      <c r="D45" s="14"/>
      <c r="E45" s="14"/>
      <c r="F45" s="23"/>
      <c r="G45" s="21" t="str">
        <f aca="false">IF($D45="","",$D45+N($E45))</f>
        <v/>
      </c>
      <c r="H45" s="22" t="str">
        <f aca="false">IF($A45="","",YEAR($A45))</f>
        <v/>
      </c>
      <c r="I45" s="22" t="str">
        <f aca="false">IF($A45="","",ROUNDUP(MONTH($A45)/3,0))</f>
        <v/>
      </c>
    </row>
    <row r="46" customFormat="false" ht="15" hidden="false" customHeight="false" outlineLevel="0" collapsed="false">
      <c r="A46" s="18"/>
      <c r="B46" s="19"/>
      <c r="C46" s="19"/>
      <c r="D46" s="14"/>
      <c r="E46" s="14"/>
      <c r="F46" s="23"/>
      <c r="G46" s="21" t="str">
        <f aca="false">IF($D46="","",$D46+N($E46))</f>
        <v/>
      </c>
      <c r="H46" s="22" t="str">
        <f aca="false">IF($A46="","",YEAR($A46))</f>
        <v/>
      </c>
      <c r="I46" s="22" t="str">
        <f aca="false">IF($A46="","",ROUNDUP(MONTH($A46)/3,0))</f>
        <v/>
      </c>
    </row>
    <row r="47" customFormat="false" ht="15" hidden="false" customHeight="false" outlineLevel="0" collapsed="false">
      <c r="A47" s="18"/>
      <c r="B47" s="19"/>
      <c r="C47" s="19"/>
      <c r="D47" s="14"/>
      <c r="E47" s="14"/>
      <c r="F47" s="23"/>
      <c r="G47" s="21" t="str">
        <f aca="false">IF($D47="","",$D47+N($E47))</f>
        <v/>
      </c>
      <c r="H47" s="22" t="str">
        <f aca="false">IF($A47="","",YEAR($A47))</f>
        <v/>
      </c>
      <c r="I47" s="22" t="str">
        <f aca="false">IF($A47="","",ROUNDUP(MONTH($A47)/3,0))</f>
        <v/>
      </c>
    </row>
    <row r="48" customFormat="false" ht="15" hidden="false" customHeight="false" outlineLevel="0" collapsed="false">
      <c r="A48" s="18"/>
      <c r="B48" s="19"/>
      <c r="C48" s="19"/>
      <c r="D48" s="14"/>
      <c r="E48" s="14"/>
      <c r="F48" s="23"/>
      <c r="G48" s="21" t="str">
        <f aca="false">IF($D48="","",$D48+N($E48))</f>
        <v/>
      </c>
      <c r="H48" s="22" t="str">
        <f aca="false">IF($A48="","",YEAR($A48))</f>
        <v/>
      </c>
      <c r="I48" s="22" t="str">
        <f aca="false">IF($A48="","",ROUNDUP(MONTH($A48)/3,0))</f>
        <v/>
      </c>
    </row>
    <row r="49" customFormat="false" ht="15" hidden="false" customHeight="false" outlineLevel="0" collapsed="false">
      <c r="A49" s="18"/>
      <c r="B49" s="19"/>
      <c r="C49" s="19"/>
      <c r="D49" s="14"/>
      <c r="E49" s="14"/>
      <c r="F49" s="23"/>
      <c r="G49" s="21" t="str">
        <f aca="false">IF($D49="","",$D49+N($E49))</f>
        <v/>
      </c>
      <c r="H49" s="22" t="str">
        <f aca="false">IF($A49="","",YEAR($A49))</f>
        <v/>
      </c>
      <c r="I49" s="22" t="str">
        <f aca="false">IF($A49="","",ROUNDUP(MONTH($A49)/3,0))</f>
        <v/>
      </c>
    </row>
    <row r="50" customFormat="false" ht="15" hidden="false" customHeight="false" outlineLevel="0" collapsed="false">
      <c r="A50" s="18"/>
      <c r="B50" s="19"/>
      <c r="C50" s="19"/>
      <c r="D50" s="14"/>
      <c r="E50" s="14"/>
      <c r="F50" s="23"/>
      <c r="G50" s="21" t="str">
        <f aca="false">IF($D50="","",$D50+N($E50))</f>
        <v/>
      </c>
      <c r="H50" s="22" t="str">
        <f aca="false">IF($A50="","",YEAR($A50))</f>
        <v/>
      </c>
      <c r="I50" s="22" t="str">
        <f aca="false">IF($A50="","",ROUNDUP(MONTH($A50)/3,0))</f>
        <v/>
      </c>
    </row>
    <row r="51" customFormat="false" ht="15" hidden="false" customHeight="false" outlineLevel="0" collapsed="false">
      <c r="A51" s="18"/>
      <c r="B51" s="19"/>
      <c r="C51" s="19"/>
      <c r="D51" s="14"/>
      <c r="E51" s="14"/>
      <c r="F51" s="23"/>
      <c r="G51" s="21" t="str">
        <f aca="false">IF($D51="","",$D51+N($E51))</f>
        <v/>
      </c>
      <c r="H51" s="22" t="str">
        <f aca="false">IF($A51="","",YEAR($A51))</f>
        <v/>
      </c>
      <c r="I51" s="22" t="str">
        <f aca="false">IF($A51="","",ROUNDUP(MONTH($A51)/3,0))</f>
        <v/>
      </c>
    </row>
    <row r="52" customFormat="false" ht="15" hidden="false" customHeight="false" outlineLevel="0" collapsed="false">
      <c r="A52" s="18"/>
      <c r="B52" s="19"/>
      <c r="C52" s="19"/>
      <c r="D52" s="14"/>
      <c r="E52" s="14"/>
      <c r="F52" s="23"/>
      <c r="G52" s="21" t="str">
        <f aca="false">IF($D52="","",$D52+N($E52))</f>
        <v/>
      </c>
      <c r="H52" s="22" t="str">
        <f aca="false">IF($A52="","",YEAR($A52))</f>
        <v/>
      </c>
      <c r="I52" s="22" t="str">
        <f aca="false">IF($A52="","",ROUNDUP(MONTH($A52)/3,0))</f>
        <v/>
      </c>
    </row>
    <row r="53" customFormat="false" ht="15" hidden="false" customHeight="false" outlineLevel="0" collapsed="false">
      <c r="A53" s="18"/>
      <c r="B53" s="19"/>
      <c r="C53" s="19"/>
      <c r="D53" s="14"/>
      <c r="E53" s="14"/>
      <c r="F53" s="23"/>
      <c r="G53" s="21" t="str">
        <f aca="false">IF($D53="","",$D53+N($E53))</f>
        <v/>
      </c>
      <c r="H53" s="22" t="str">
        <f aca="false">IF($A53="","",YEAR($A53))</f>
        <v/>
      </c>
      <c r="I53" s="22" t="str">
        <f aca="false">IF($A53="","",ROUNDUP(MONTH($A53)/3,0))</f>
        <v/>
      </c>
    </row>
    <row r="54" customFormat="false" ht="15" hidden="false" customHeight="false" outlineLevel="0" collapsed="false">
      <c r="A54" s="18"/>
      <c r="B54" s="19"/>
      <c r="C54" s="19"/>
      <c r="D54" s="14"/>
      <c r="E54" s="14"/>
      <c r="F54" s="23"/>
      <c r="G54" s="21" t="str">
        <f aca="false">IF($D54="","",$D54+N($E54))</f>
        <v/>
      </c>
      <c r="H54" s="22" t="str">
        <f aca="false">IF($A54="","",YEAR($A54))</f>
        <v/>
      </c>
      <c r="I54" s="22" t="str">
        <f aca="false">IF($A54="","",ROUNDUP(MONTH($A54)/3,0))</f>
        <v/>
      </c>
    </row>
    <row r="55" customFormat="false" ht="15" hidden="false" customHeight="false" outlineLevel="0" collapsed="false">
      <c r="A55" s="18"/>
      <c r="B55" s="19"/>
      <c r="C55" s="19"/>
      <c r="D55" s="14"/>
      <c r="E55" s="14"/>
      <c r="F55" s="23"/>
      <c r="G55" s="21" t="str">
        <f aca="false">IF($D55="","",$D55+N($E55))</f>
        <v/>
      </c>
      <c r="H55" s="22" t="str">
        <f aca="false">IF($A55="","",YEAR($A55))</f>
        <v/>
      </c>
      <c r="I55" s="22" t="str">
        <f aca="false">IF($A55="","",ROUNDUP(MONTH($A55)/3,0))</f>
        <v/>
      </c>
    </row>
    <row r="56" customFormat="false" ht="15" hidden="false" customHeight="false" outlineLevel="0" collapsed="false">
      <c r="A56" s="18"/>
      <c r="B56" s="19"/>
      <c r="C56" s="19"/>
      <c r="D56" s="14"/>
      <c r="E56" s="14"/>
      <c r="F56" s="23"/>
      <c r="G56" s="21" t="str">
        <f aca="false">IF($D56="","",$D56+N($E56))</f>
        <v/>
      </c>
      <c r="H56" s="22" t="str">
        <f aca="false">IF($A56="","",YEAR($A56))</f>
        <v/>
      </c>
      <c r="I56" s="22" t="str">
        <f aca="false">IF($A56="","",ROUNDUP(MONTH($A56)/3,0))</f>
        <v/>
      </c>
    </row>
    <row r="57" customFormat="false" ht="15" hidden="false" customHeight="false" outlineLevel="0" collapsed="false">
      <c r="A57" s="18"/>
      <c r="B57" s="19"/>
      <c r="C57" s="19"/>
      <c r="D57" s="14"/>
      <c r="E57" s="14"/>
      <c r="F57" s="23"/>
      <c r="G57" s="21" t="str">
        <f aca="false">IF($D57="","",$D57+N($E57))</f>
        <v/>
      </c>
      <c r="H57" s="22" t="str">
        <f aca="false">IF($A57="","",YEAR($A57))</f>
        <v/>
      </c>
      <c r="I57" s="22" t="str">
        <f aca="false">IF($A57="","",ROUNDUP(MONTH($A57)/3,0))</f>
        <v/>
      </c>
    </row>
    <row r="58" customFormat="false" ht="15" hidden="false" customHeight="false" outlineLevel="0" collapsed="false">
      <c r="A58" s="18"/>
      <c r="B58" s="19"/>
      <c r="C58" s="19"/>
      <c r="D58" s="14"/>
      <c r="E58" s="14"/>
      <c r="F58" s="23"/>
      <c r="G58" s="21" t="str">
        <f aca="false">IF($D58="","",$D58+N($E58))</f>
        <v/>
      </c>
      <c r="H58" s="22" t="str">
        <f aca="false">IF($A58="","",YEAR($A58))</f>
        <v/>
      </c>
      <c r="I58" s="22" t="str">
        <f aca="false">IF($A58="","",ROUNDUP(MONTH($A58)/3,0))</f>
        <v/>
      </c>
    </row>
    <row r="59" customFormat="false" ht="15" hidden="false" customHeight="false" outlineLevel="0" collapsed="false">
      <c r="A59" s="18"/>
      <c r="B59" s="19"/>
      <c r="C59" s="19"/>
      <c r="D59" s="14"/>
      <c r="E59" s="14"/>
      <c r="F59" s="23"/>
      <c r="G59" s="21" t="str">
        <f aca="false">IF($D59="","",$D59+N($E59))</f>
        <v/>
      </c>
      <c r="H59" s="22" t="str">
        <f aca="false">IF($A59="","",YEAR($A59))</f>
        <v/>
      </c>
      <c r="I59" s="22" t="str">
        <f aca="false">IF($A59="","",ROUNDUP(MONTH($A59)/3,0))</f>
        <v/>
      </c>
    </row>
    <row r="60" customFormat="false" ht="15" hidden="false" customHeight="false" outlineLevel="0" collapsed="false">
      <c r="A60" s="18"/>
      <c r="B60" s="19"/>
      <c r="C60" s="19"/>
      <c r="D60" s="14"/>
      <c r="E60" s="14"/>
      <c r="F60" s="23"/>
      <c r="G60" s="21" t="str">
        <f aca="false">IF($D60="","",$D60+N($E60))</f>
        <v/>
      </c>
      <c r="H60" s="22" t="str">
        <f aca="false">IF($A60="","",YEAR($A60))</f>
        <v/>
      </c>
      <c r="I60" s="22" t="str">
        <f aca="false">IF($A60="","",ROUNDUP(MONTH($A60)/3,0))</f>
        <v/>
      </c>
    </row>
    <row r="61" customFormat="false" ht="15" hidden="false" customHeight="false" outlineLevel="0" collapsed="false">
      <c r="A61" s="18"/>
      <c r="B61" s="19"/>
      <c r="C61" s="19"/>
      <c r="D61" s="14"/>
      <c r="E61" s="14"/>
      <c r="F61" s="23"/>
      <c r="G61" s="21" t="str">
        <f aca="false">IF($D61="","",$D61+N($E61))</f>
        <v/>
      </c>
      <c r="H61" s="22" t="str">
        <f aca="false">IF($A61="","",YEAR($A61))</f>
        <v/>
      </c>
      <c r="I61" s="22" t="str">
        <f aca="false">IF($A61="","",ROUNDUP(MONTH($A61)/3,0))</f>
        <v/>
      </c>
    </row>
    <row r="62" customFormat="false" ht="15" hidden="false" customHeight="false" outlineLevel="0" collapsed="false">
      <c r="A62" s="18"/>
      <c r="B62" s="19"/>
      <c r="C62" s="19"/>
      <c r="D62" s="14"/>
      <c r="E62" s="14"/>
      <c r="F62" s="23"/>
      <c r="G62" s="21" t="str">
        <f aca="false">IF($D62="","",$D62+N($E62))</f>
        <v/>
      </c>
      <c r="H62" s="22" t="str">
        <f aca="false">IF($A62="","",YEAR($A62))</f>
        <v/>
      </c>
      <c r="I62" s="22" t="str">
        <f aca="false">IF($A62="","",ROUNDUP(MONTH($A62)/3,0))</f>
        <v/>
      </c>
    </row>
    <row r="63" customFormat="false" ht="15" hidden="false" customHeight="false" outlineLevel="0" collapsed="false">
      <c r="A63" s="18"/>
      <c r="B63" s="19"/>
      <c r="C63" s="19"/>
      <c r="D63" s="14"/>
      <c r="E63" s="14"/>
      <c r="F63" s="23"/>
      <c r="G63" s="21" t="str">
        <f aca="false">IF($D63="","",$D63+N($E63))</f>
        <v/>
      </c>
      <c r="H63" s="22" t="str">
        <f aca="false">IF($A63="","",YEAR($A63))</f>
        <v/>
      </c>
      <c r="I63" s="22" t="str">
        <f aca="false">IF($A63="","",ROUNDUP(MONTH($A63)/3,0))</f>
        <v/>
      </c>
    </row>
    <row r="64" customFormat="false" ht="15" hidden="false" customHeight="false" outlineLevel="0" collapsed="false">
      <c r="A64" s="18"/>
      <c r="B64" s="19"/>
      <c r="C64" s="19"/>
      <c r="D64" s="14"/>
      <c r="E64" s="14"/>
      <c r="F64" s="23"/>
      <c r="G64" s="21" t="str">
        <f aca="false">IF($D64="","",$D64+N($E64))</f>
        <v/>
      </c>
      <c r="H64" s="22" t="str">
        <f aca="false">IF($A64="","",YEAR($A64))</f>
        <v/>
      </c>
      <c r="I64" s="22" t="str">
        <f aca="false">IF($A64="","",ROUNDUP(MONTH($A64)/3,0))</f>
        <v/>
      </c>
    </row>
    <row r="65" customFormat="false" ht="15" hidden="false" customHeight="false" outlineLevel="0" collapsed="false">
      <c r="A65" s="18"/>
      <c r="B65" s="19"/>
      <c r="C65" s="19"/>
      <c r="D65" s="14"/>
      <c r="E65" s="14"/>
      <c r="F65" s="23"/>
      <c r="G65" s="21" t="str">
        <f aca="false">IF($D65="","",$D65+N($E65))</f>
        <v/>
      </c>
      <c r="H65" s="22" t="str">
        <f aca="false">IF($A65="","",YEAR($A65))</f>
        <v/>
      </c>
      <c r="I65" s="22" t="str">
        <f aca="false">IF($A65="","",ROUNDUP(MONTH($A65)/3,0))</f>
        <v/>
      </c>
    </row>
    <row r="66" customFormat="false" ht="15" hidden="false" customHeight="false" outlineLevel="0" collapsed="false">
      <c r="A66" s="18"/>
      <c r="B66" s="19"/>
      <c r="C66" s="19"/>
      <c r="D66" s="14"/>
      <c r="E66" s="14"/>
      <c r="F66" s="23"/>
      <c r="G66" s="21" t="str">
        <f aca="false">IF($D66="","",$D66+N($E66))</f>
        <v/>
      </c>
      <c r="H66" s="22" t="str">
        <f aca="false">IF($A66="","",YEAR($A66))</f>
        <v/>
      </c>
      <c r="I66" s="22" t="str">
        <f aca="false">IF($A66="","",ROUNDUP(MONTH($A66)/3,0))</f>
        <v/>
      </c>
    </row>
    <row r="67" customFormat="false" ht="15" hidden="false" customHeight="false" outlineLevel="0" collapsed="false">
      <c r="A67" s="18"/>
      <c r="B67" s="19"/>
      <c r="C67" s="19"/>
      <c r="D67" s="14"/>
      <c r="E67" s="14"/>
      <c r="F67" s="23"/>
      <c r="G67" s="21" t="str">
        <f aca="false">IF($D67="","",$D67+N($E67))</f>
        <v/>
      </c>
      <c r="H67" s="22" t="str">
        <f aca="false">IF($A67="","",YEAR($A67))</f>
        <v/>
      </c>
      <c r="I67" s="22" t="str">
        <f aca="false">IF($A67="","",ROUNDUP(MONTH($A67)/3,0))</f>
        <v/>
      </c>
    </row>
    <row r="68" customFormat="false" ht="15" hidden="false" customHeight="false" outlineLevel="0" collapsed="false">
      <c r="A68" s="18"/>
      <c r="B68" s="19"/>
      <c r="C68" s="19"/>
      <c r="D68" s="14"/>
      <c r="E68" s="14"/>
      <c r="F68" s="23"/>
      <c r="G68" s="21" t="str">
        <f aca="false">IF($D68="","",$D68+N($E68))</f>
        <v/>
      </c>
      <c r="H68" s="22" t="str">
        <f aca="false">IF($A68="","",YEAR($A68))</f>
        <v/>
      </c>
      <c r="I68" s="22" t="str">
        <f aca="false">IF($A68="","",ROUNDUP(MONTH($A68)/3,0))</f>
        <v/>
      </c>
    </row>
    <row r="69" customFormat="false" ht="15" hidden="false" customHeight="false" outlineLevel="0" collapsed="false">
      <c r="A69" s="18"/>
      <c r="B69" s="19"/>
      <c r="C69" s="19"/>
      <c r="D69" s="14"/>
      <c r="E69" s="14"/>
      <c r="F69" s="23"/>
      <c r="G69" s="21" t="str">
        <f aca="false">IF($D69="","",$D69+N($E69))</f>
        <v/>
      </c>
      <c r="H69" s="22" t="str">
        <f aca="false">IF($A69="","",YEAR($A69))</f>
        <v/>
      </c>
      <c r="I69" s="22" t="str">
        <f aca="false">IF($A69="","",ROUNDUP(MONTH($A69)/3,0))</f>
        <v/>
      </c>
    </row>
    <row r="70" customFormat="false" ht="15" hidden="false" customHeight="false" outlineLevel="0" collapsed="false">
      <c r="A70" s="18"/>
      <c r="B70" s="19"/>
      <c r="C70" s="19"/>
      <c r="D70" s="14"/>
      <c r="E70" s="14"/>
      <c r="F70" s="23"/>
      <c r="G70" s="21" t="str">
        <f aca="false">IF($D70="","",$D70+N($E70))</f>
        <v/>
      </c>
      <c r="H70" s="22" t="str">
        <f aca="false">IF($A70="","",YEAR($A70))</f>
        <v/>
      </c>
      <c r="I70" s="22" t="str">
        <f aca="false">IF($A70="","",ROUNDUP(MONTH($A70)/3,0))</f>
        <v/>
      </c>
    </row>
    <row r="71" customFormat="false" ht="15" hidden="false" customHeight="false" outlineLevel="0" collapsed="false">
      <c r="A71" s="18"/>
      <c r="B71" s="19"/>
      <c r="C71" s="19"/>
      <c r="D71" s="14"/>
      <c r="E71" s="14"/>
      <c r="F71" s="23"/>
      <c r="G71" s="21" t="str">
        <f aca="false">IF($D71="","",$D71+N($E71))</f>
        <v/>
      </c>
      <c r="H71" s="22" t="str">
        <f aca="false">IF($A71="","",YEAR($A71))</f>
        <v/>
      </c>
      <c r="I71" s="22" t="str">
        <f aca="false">IF($A71="","",ROUNDUP(MONTH($A71)/3,0))</f>
        <v/>
      </c>
    </row>
    <row r="72" customFormat="false" ht="15" hidden="false" customHeight="false" outlineLevel="0" collapsed="false">
      <c r="A72" s="18"/>
      <c r="B72" s="19"/>
      <c r="C72" s="19"/>
      <c r="D72" s="14"/>
      <c r="E72" s="14"/>
      <c r="F72" s="23"/>
      <c r="G72" s="21" t="str">
        <f aca="false">IF($D72="","",$D72+N($E72))</f>
        <v/>
      </c>
      <c r="H72" s="22" t="str">
        <f aca="false">IF($A72="","",YEAR($A72))</f>
        <v/>
      </c>
      <c r="I72" s="22" t="str">
        <f aca="false">IF($A72="","",ROUNDUP(MONTH($A72)/3,0))</f>
        <v/>
      </c>
    </row>
    <row r="73" customFormat="false" ht="15" hidden="false" customHeight="false" outlineLevel="0" collapsed="false">
      <c r="A73" s="18"/>
      <c r="B73" s="19"/>
      <c r="C73" s="19"/>
      <c r="D73" s="14"/>
      <c r="E73" s="14"/>
      <c r="F73" s="23"/>
      <c r="G73" s="21" t="str">
        <f aca="false">IF($D73="","",$D73+N($E73))</f>
        <v/>
      </c>
      <c r="H73" s="22" t="str">
        <f aca="false">IF($A73="","",YEAR($A73))</f>
        <v/>
      </c>
      <c r="I73" s="22" t="str">
        <f aca="false">IF($A73="","",ROUNDUP(MONTH($A73)/3,0))</f>
        <v/>
      </c>
    </row>
    <row r="74" customFormat="false" ht="15" hidden="false" customHeight="false" outlineLevel="0" collapsed="false">
      <c r="A74" s="18"/>
      <c r="B74" s="19"/>
      <c r="C74" s="19"/>
      <c r="D74" s="14"/>
      <c r="E74" s="14"/>
      <c r="F74" s="23"/>
      <c r="G74" s="21" t="str">
        <f aca="false">IF($D74="","",$D74+N($E74))</f>
        <v/>
      </c>
      <c r="H74" s="22" t="str">
        <f aca="false">IF($A74="","",YEAR($A74))</f>
        <v/>
      </c>
      <c r="I74" s="22" t="str">
        <f aca="false">IF($A74="","",ROUNDUP(MONTH($A74)/3,0))</f>
        <v/>
      </c>
    </row>
    <row r="75" customFormat="false" ht="15" hidden="false" customHeight="false" outlineLevel="0" collapsed="false">
      <c r="A75" s="18"/>
      <c r="B75" s="19"/>
      <c r="C75" s="19"/>
      <c r="D75" s="14"/>
      <c r="E75" s="14"/>
      <c r="F75" s="23"/>
      <c r="G75" s="21" t="str">
        <f aca="false">IF($D75="","",$D75+N($E75))</f>
        <v/>
      </c>
      <c r="H75" s="22" t="str">
        <f aca="false">IF($A75="","",YEAR($A75))</f>
        <v/>
      </c>
      <c r="I75" s="22" t="str">
        <f aca="false">IF($A75="","",ROUNDUP(MONTH($A75)/3,0))</f>
        <v/>
      </c>
    </row>
    <row r="76" customFormat="false" ht="15" hidden="false" customHeight="false" outlineLevel="0" collapsed="false">
      <c r="A76" s="18"/>
      <c r="B76" s="19"/>
      <c r="C76" s="19"/>
      <c r="D76" s="14"/>
      <c r="E76" s="14"/>
      <c r="F76" s="23"/>
      <c r="G76" s="21" t="str">
        <f aca="false">IF($D76="","",$D76+N($E76))</f>
        <v/>
      </c>
      <c r="H76" s="22" t="str">
        <f aca="false">IF($A76="","",YEAR($A76))</f>
        <v/>
      </c>
      <c r="I76" s="22" t="str">
        <f aca="false">IF($A76="","",ROUNDUP(MONTH($A76)/3,0))</f>
        <v/>
      </c>
    </row>
    <row r="77" customFormat="false" ht="15" hidden="false" customHeight="false" outlineLevel="0" collapsed="false">
      <c r="A77" s="18"/>
      <c r="B77" s="19"/>
      <c r="C77" s="19"/>
      <c r="D77" s="14"/>
      <c r="E77" s="14"/>
      <c r="F77" s="23"/>
      <c r="G77" s="21" t="str">
        <f aca="false">IF($D77="","",$D77+N($E77))</f>
        <v/>
      </c>
      <c r="H77" s="22" t="str">
        <f aca="false">IF($A77="","",YEAR($A77))</f>
        <v/>
      </c>
      <c r="I77" s="22" t="str">
        <f aca="false">IF($A77="","",ROUNDUP(MONTH($A77)/3,0))</f>
        <v/>
      </c>
    </row>
    <row r="78" customFormat="false" ht="15" hidden="false" customHeight="false" outlineLevel="0" collapsed="false">
      <c r="A78" s="18"/>
      <c r="B78" s="19"/>
      <c r="C78" s="19"/>
      <c r="D78" s="14"/>
      <c r="E78" s="14"/>
      <c r="F78" s="23"/>
      <c r="G78" s="21" t="str">
        <f aca="false">IF($D78="","",$D78+N($E78))</f>
        <v/>
      </c>
      <c r="H78" s="22" t="str">
        <f aca="false">IF($A78="","",YEAR($A78))</f>
        <v/>
      </c>
      <c r="I78" s="22" t="str">
        <f aca="false">IF($A78="","",ROUNDUP(MONTH($A78)/3,0))</f>
        <v/>
      </c>
    </row>
    <row r="79" customFormat="false" ht="15" hidden="false" customHeight="false" outlineLevel="0" collapsed="false">
      <c r="A79" s="18"/>
      <c r="B79" s="19"/>
      <c r="C79" s="19"/>
      <c r="D79" s="14"/>
      <c r="E79" s="14"/>
      <c r="F79" s="23"/>
      <c r="G79" s="21" t="str">
        <f aca="false">IF($D79="","",$D79+N($E79))</f>
        <v/>
      </c>
      <c r="H79" s="22" t="str">
        <f aca="false">IF($A79="","",YEAR($A79))</f>
        <v/>
      </c>
      <c r="I79" s="22" t="str">
        <f aca="false">IF($A79="","",ROUNDUP(MONTH($A79)/3,0))</f>
        <v/>
      </c>
    </row>
    <row r="80" customFormat="false" ht="15" hidden="false" customHeight="false" outlineLevel="0" collapsed="false">
      <c r="A80" s="18"/>
      <c r="B80" s="19"/>
      <c r="C80" s="19"/>
      <c r="D80" s="14"/>
      <c r="E80" s="14"/>
      <c r="F80" s="23"/>
      <c r="G80" s="21" t="str">
        <f aca="false">IF($D80="","",$D80+N($E80))</f>
        <v/>
      </c>
      <c r="H80" s="22" t="str">
        <f aca="false">IF($A80="","",YEAR($A80))</f>
        <v/>
      </c>
      <c r="I80" s="22" t="str">
        <f aca="false">IF($A80="","",ROUNDUP(MONTH($A80)/3,0))</f>
        <v/>
      </c>
    </row>
    <row r="81" customFormat="false" ht="15" hidden="false" customHeight="false" outlineLevel="0" collapsed="false">
      <c r="A81" s="18"/>
      <c r="B81" s="19"/>
      <c r="C81" s="19"/>
      <c r="D81" s="14"/>
      <c r="E81" s="14"/>
      <c r="F81" s="23"/>
      <c r="G81" s="21" t="str">
        <f aca="false">IF($D81="","",$D81+N($E81))</f>
        <v/>
      </c>
      <c r="H81" s="22" t="str">
        <f aca="false">IF($A81="","",YEAR($A81))</f>
        <v/>
      </c>
      <c r="I81" s="22" t="str">
        <f aca="false">IF($A81="","",ROUNDUP(MONTH($A81)/3,0))</f>
        <v/>
      </c>
    </row>
    <row r="82" customFormat="false" ht="15" hidden="false" customHeight="false" outlineLevel="0" collapsed="false">
      <c r="A82" s="18"/>
      <c r="B82" s="19"/>
      <c r="C82" s="19"/>
      <c r="D82" s="14"/>
      <c r="E82" s="14"/>
      <c r="F82" s="23"/>
      <c r="G82" s="21" t="str">
        <f aca="false">IF($D82="","",$D82+N($E82))</f>
        <v/>
      </c>
      <c r="H82" s="22" t="str">
        <f aca="false">IF($A82="","",YEAR($A82))</f>
        <v/>
      </c>
      <c r="I82" s="22" t="str">
        <f aca="false">IF($A82="","",ROUNDUP(MONTH($A82)/3,0))</f>
        <v/>
      </c>
    </row>
    <row r="83" customFormat="false" ht="15" hidden="false" customHeight="false" outlineLevel="0" collapsed="false">
      <c r="A83" s="18"/>
      <c r="B83" s="19"/>
      <c r="C83" s="19"/>
      <c r="D83" s="14"/>
      <c r="E83" s="14"/>
      <c r="F83" s="23"/>
      <c r="G83" s="21" t="str">
        <f aca="false">IF($D83="","",$D83+N($E83))</f>
        <v/>
      </c>
      <c r="H83" s="22" t="str">
        <f aca="false">IF($A83="","",YEAR($A83))</f>
        <v/>
      </c>
      <c r="I83" s="22" t="str">
        <f aca="false">IF($A83="","",ROUNDUP(MONTH($A83)/3,0))</f>
        <v/>
      </c>
    </row>
    <row r="84" customFormat="false" ht="15" hidden="false" customHeight="false" outlineLevel="0" collapsed="false">
      <c r="A84" s="18"/>
      <c r="B84" s="19"/>
      <c r="C84" s="19"/>
      <c r="D84" s="14"/>
      <c r="E84" s="14"/>
      <c r="F84" s="23"/>
      <c r="G84" s="21" t="str">
        <f aca="false">IF($D84="","",$D84+N($E84))</f>
        <v/>
      </c>
      <c r="H84" s="22" t="str">
        <f aca="false">IF($A84="","",YEAR($A84))</f>
        <v/>
      </c>
      <c r="I84" s="22" t="str">
        <f aca="false">IF($A84="","",ROUNDUP(MONTH($A84)/3,0))</f>
        <v/>
      </c>
    </row>
    <row r="85" customFormat="false" ht="15" hidden="false" customHeight="false" outlineLevel="0" collapsed="false">
      <c r="A85" s="18"/>
      <c r="B85" s="19"/>
      <c r="C85" s="19"/>
      <c r="D85" s="14"/>
      <c r="E85" s="14"/>
      <c r="F85" s="23"/>
      <c r="G85" s="21" t="str">
        <f aca="false">IF($D85="","",$D85+N($E85))</f>
        <v/>
      </c>
      <c r="H85" s="22" t="str">
        <f aca="false">IF($A85="","",YEAR($A85))</f>
        <v/>
      </c>
      <c r="I85" s="22" t="str">
        <f aca="false">IF($A85="","",ROUNDUP(MONTH($A85)/3,0))</f>
        <v/>
      </c>
    </row>
    <row r="86" customFormat="false" ht="15" hidden="false" customHeight="false" outlineLevel="0" collapsed="false">
      <c r="A86" s="18"/>
      <c r="B86" s="19"/>
      <c r="C86" s="19"/>
      <c r="D86" s="14"/>
      <c r="E86" s="14"/>
      <c r="F86" s="23"/>
      <c r="G86" s="21" t="str">
        <f aca="false">IF($D86="","",$D86+N($E86))</f>
        <v/>
      </c>
      <c r="H86" s="22" t="str">
        <f aca="false">IF($A86="","",YEAR($A86))</f>
        <v/>
      </c>
      <c r="I86" s="22" t="str">
        <f aca="false">IF($A86="","",ROUNDUP(MONTH($A86)/3,0))</f>
        <v/>
      </c>
    </row>
    <row r="87" customFormat="false" ht="15" hidden="false" customHeight="false" outlineLevel="0" collapsed="false">
      <c r="A87" s="18"/>
      <c r="B87" s="19"/>
      <c r="C87" s="19"/>
      <c r="D87" s="14"/>
      <c r="E87" s="14"/>
      <c r="F87" s="23"/>
      <c r="G87" s="21" t="str">
        <f aca="false">IF($D87="","",$D87+N($E87))</f>
        <v/>
      </c>
      <c r="H87" s="22" t="str">
        <f aca="false">IF($A87="","",YEAR($A87))</f>
        <v/>
      </c>
      <c r="I87" s="22" t="str">
        <f aca="false">IF($A87="","",ROUNDUP(MONTH($A87)/3,0))</f>
        <v/>
      </c>
    </row>
    <row r="88" customFormat="false" ht="15" hidden="false" customHeight="false" outlineLevel="0" collapsed="false">
      <c r="A88" s="18"/>
      <c r="B88" s="19"/>
      <c r="C88" s="19"/>
      <c r="D88" s="14"/>
      <c r="E88" s="14"/>
      <c r="F88" s="23"/>
      <c r="G88" s="21" t="str">
        <f aca="false">IF($D88="","",$D88+N($E88))</f>
        <v/>
      </c>
      <c r="H88" s="22" t="str">
        <f aca="false">IF($A88="","",YEAR($A88))</f>
        <v/>
      </c>
      <c r="I88" s="22" t="str">
        <f aca="false">IF($A88="","",ROUNDUP(MONTH($A88)/3,0))</f>
        <v/>
      </c>
    </row>
    <row r="89" customFormat="false" ht="15" hidden="false" customHeight="false" outlineLevel="0" collapsed="false">
      <c r="A89" s="18"/>
      <c r="B89" s="19"/>
      <c r="C89" s="19"/>
      <c r="D89" s="14"/>
      <c r="E89" s="14"/>
      <c r="F89" s="23"/>
      <c r="G89" s="21" t="str">
        <f aca="false">IF($D89="","",$D89+N($E89))</f>
        <v/>
      </c>
      <c r="H89" s="22" t="str">
        <f aca="false">IF($A89="","",YEAR($A89))</f>
        <v/>
      </c>
      <c r="I89" s="22" t="str">
        <f aca="false">IF($A89="","",ROUNDUP(MONTH($A89)/3,0))</f>
        <v/>
      </c>
    </row>
    <row r="90" customFormat="false" ht="15" hidden="false" customHeight="false" outlineLevel="0" collapsed="false">
      <c r="A90" s="18"/>
      <c r="B90" s="19"/>
      <c r="C90" s="19"/>
      <c r="D90" s="14"/>
      <c r="E90" s="14"/>
      <c r="F90" s="23"/>
      <c r="G90" s="21" t="str">
        <f aca="false">IF($D90="","",$D90+N($E90))</f>
        <v/>
      </c>
      <c r="H90" s="22" t="str">
        <f aca="false">IF($A90="","",YEAR($A90))</f>
        <v/>
      </c>
      <c r="I90" s="22" t="str">
        <f aca="false">IF($A90="","",ROUNDUP(MONTH($A90)/3,0))</f>
        <v/>
      </c>
    </row>
    <row r="91" customFormat="false" ht="15" hidden="false" customHeight="false" outlineLevel="0" collapsed="false">
      <c r="A91" s="18"/>
      <c r="B91" s="19"/>
      <c r="C91" s="19"/>
      <c r="D91" s="14"/>
      <c r="E91" s="14"/>
      <c r="F91" s="23"/>
      <c r="G91" s="21" t="str">
        <f aca="false">IF($D91="","",$D91+N($E91))</f>
        <v/>
      </c>
      <c r="H91" s="22" t="str">
        <f aca="false">IF($A91="","",YEAR($A91))</f>
        <v/>
      </c>
      <c r="I91" s="22" t="str">
        <f aca="false">IF($A91="","",ROUNDUP(MONTH($A91)/3,0))</f>
        <v/>
      </c>
    </row>
    <row r="92" customFormat="false" ht="15" hidden="false" customHeight="false" outlineLevel="0" collapsed="false">
      <c r="A92" s="18"/>
      <c r="B92" s="19"/>
      <c r="C92" s="19"/>
      <c r="D92" s="14"/>
      <c r="E92" s="14"/>
      <c r="F92" s="23"/>
      <c r="G92" s="21" t="str">
        <f aca="false">IF($D92="","",$D92+N($E92))</f>
        <v/>
      </c>
      <c r="H92" s="22" t="str">
        <f aca="false">IF($A92="","",YEAR($A92))</f>
        <v/>
      </c>
      <c r="I92" s="22" t="str">
        <f aca="false">IF($A92="","",ROUNDUP(MONTH($A92)/3,0))</f>
        <v/>
      </c>
    </row>
    <row r="93" customFormat="false" ht="15" hidden="false" customHeight="false" outlineLevel="0" collapsed="false">
      <c r="A93" s="18"/>
      <c r="B93" s="19"/>
      <c r="C93" s="19"/>
      <c r="D93" s="14"/>
      <c r="E93" s="14"/>
      <c r="F93" s="23"/>
      <c r="G93" s="21" t="str">
        <f aca="false">IF($D93="","",$D93+N($E93))</f>
        <v/>
      </c>
      <c r="H93" s="22" t="str">
        <f aca="false">IF($A93="","",YEAR($A93))</f>
        <v/>
      </c>
      <c r="I93" s="22" t="str">
        <f aca="false">IF($A93="","",ROUNDUP(MONTH($A93)/3,0))</f>
        <v/>
      </c>
    </row>
    <row r="94" customFormat="false" ht="15" hidden="false" customHeight="false" outlineLevel="0" collapsed="false">
      <c r="A94" s="18"/>
      <c r="B94" s="19"/>
      <c r="C94" s="19"/>
      <c r="D94" s="14"/>
      <c r="E94" s="14"/>
      <c r="F94" s="23"/>
      <c r="G94" s="21" t="str">
        <f aca="false">IF($D94="","",$D94+N($E94))</f>
        <v/>
      </c>
      <c r="H94" s="22" t="str">
        <f aca="false">IF($A94="","",YEAR($A94))</f>
        <v/>
      </c>
      <c r="I94" s="22" t="str">
        <f aca="false">IF($A94="","",ROUNDUP(MONTH($A94)/3,0))</f>
        <v/>
      </c>
    </row>
    <row r="95" customFormat="false" ht="15" hidden="false" customHeight="false" outlineLevel="0" collapsed="false">
      <c r="A95" s="18"/>
      <c r="B95" s="19"/>
      <c r="C95" s="19"/>
      <c r="D95" s="14"/>
      <c r="E95" s="14"/>
      <c r="F95" s="23"/>
      <c r="G95" s="21" t="str">
        <f aca="false">IF($D95="","",$D95+N($E95))</f>
        <v/>
      </c>
      <c r="H95" s="22" t="str">
        <f aca="false">IF($A95="","",YEAR($A95))</f>
        <v/>
      </c>
      <c r="I95" s="22" t="str">
        <f aca="false">IF($A95="","",ROUNDUP(MONTH($A95)/3,0))</f>
        <v/>
      </c>
    </row>
    <row r="96" customFormat="false" ht="15" hidden="false" customHeight="false" outlineLevel="0" collapsed="false">
      <c r="A96" s="18"/>
      <c r="B96" s="19"/>
      <c r="C96" s="19"/>
      <c r="D96" s="14"/>
      <c r="E96" s="14"/>
      <c r="F96" s="23"/>
      <c r="G96" s="21" t="str">
        <f aca="false">IF($D96="","",$D96+N($E96))</f>
        <v/>
      </c>
      <c r="H96" s="22" t="str">
        <f aca="false">IF($A96="","",YEAR($A96))</f>
        <v/>
      </c>
      <c r="I96" s="22" t="str">
        <f aca="false">IF($A96="","",ROUNDUP(MONTH($A96)/3,0))</f>
        <v/>
      </c>
    </row>
    <row r="97" customFormat="false" ht="15" hidden="false" customHeight="false" outlineLevel="0" collapsed="false">
      <c r="A97" s="18"/>
      <c r="B97" s="19"/>
      <c r="C97" s="19"/>
      <c r="D97" s="14"/>
      <c r="E97" s="14"/>
      <c r="F97" s="23"/>
      <c r="G97" s="21" t="str">
        <f aca="false">IF($D97="","",$D97+N($E97))</f>
        <v/>
      </c>
      <c r="H97" s="22" t="str">
        <f aca="false">IF($A97="","",YEAR($A97))</f>
        <v/>
      </c>
      <c r="I97" s="22" t="str">
        <f aca="false">IF($A97="","",ROUNDUP(MONTH($A97)/3,0))</f>
        <v/>
      </c>
    </row>
    <row r="98" customFormat="false" ht="15" hidden="false" customHeight="false" outlineLevel="0" collapsed="false">
      <c r="A98" s="18"/>
      <c r="B98" s="19"/>
      <c r="C98" s="19"/>
      <c r="D98" s="14"/>
      <c r="E98" s="14"/>
      <c r="F98" s="23"/>
      <c r="G98" s="21" t="str">
        <f aca="false">IF($D98="","",$D98+N($E98))</f>
        <v/>
      </c>
      <c r="H98" s="22" t="str">
        <f aca="false">IF($A98="","",YEAR($A98))</f>
        <v/>
      </c>
      <c r="I98" s="22" t="str">
        <f aca="false">IF($A98="","",ROUNDUP(MONTH($A98)/3,0))</f>
        <v/>
      </c>
    </row>
    <row r="99" customFormat="false" ht="15" hidden="false" customHeight="false" outlineLevel="0" collapsed="false">
      <c r="A99" s="18"/>
      <c r="B99" s="19"/>
      <c r="C99" s="19"/>
      <c r="D99" s="14"/>
      <c r="E99" s="14"/>
      <c r="F99" s="23"/>
      <c r="G99" s="21" t="str">
        <f aca="false">IF($D99="","",$D99+N($E99))</f>
        <v/>
      </c>
      <c r="H99" s="22" t="str">
        <f aca="false">IF($A99="","",YEAR($A99))</f>
        <v/>
      </c>
      <c r="I99" s="22" t="str">
        <f aca="false">IF($A99="","",ROUNDUP(MONTH($A99)/3,0))</f>
        <v/>
      </c>
    </row>
    <row r="100" customFormat="false" ht="15" hidden="false" customHeight="false" outlineLevel="0" collapsed="false">
      <c r="A100" s="18"/>
      <c r="B100" s="19"/>
      <c r="C100" s="19"/>
      <c r="D100" s="14"/>
      <c r="E100" s="14"/>
      <c r="F100" s="23"/>
      <c r="G100" s="21" t="str">
        <f aca="false">IF($D100="","",$D100+N($E100))</f>
        <v/>
      </c>
      <c r="H100" s="22" t="str">
        <f aca="false">IF($A100="","",YEAR($A100))</f>
        <v/>
      </c>
      <c r="I100" s="22" t="str">
        <f aca="false">IF($A100="","",ROUNDUP(MONTH($A100)/3,0))</f>
        <v/>
      </c>
    </row>
    <row r="101" customFormat="false" ht="15" hidden="false" customHeight="false" outlineLevel="0" collapsed="false">
      <c r="A101" s="18"/>
      <c r="B101" s="19"/>
      <c r="C101" s="19"/>
      <c r="D101" s="14"/>
      <c r="E101" s="14"/>
      <c r="F101" s="23"/>
      <c r="G101" s="21" t="str">
        <f aca="false">IF($D101="","",$D101+N($E101))</f>
        <v/>
      </c>
      <c r="H101" s="22" t="str">
        <f aca="false">IF($A101="","",YEAR($A101))</f>
        <v/>
      </c>
      <c r="I101" s="22" t="str">
        <f aca="false">IF($A101="","",ROUNDUP(MONTH($A101)/3,0))</f>
        <v/>
      </c>
    </row>
    <row r="102" customFormat="false" ht="15" hidden="false" customHeight="false" outlineLevel="0" collapsed="false">
      <c r="A102" s="18"/>
      <c r="B102" s="19"/>
      <c r="C102" s="19"/>
      <c r="D102" s="14"/>
      <c r="E102" s="14"/>
      <c r="F102" s="23"/>
      <c r="G102" s="21" t="str">
        <f aca="false">IF($D102="","",$D102+N($E102))</f>
        <v/>
      </c>
      <c r="H102" s="22" t="str">
        <f aca="false">IF($A102="","",YEAR($A102))</f>
        <v/>
      </c>
      <c r="I102" s="22" t="str">
        <f aca="false">IF($A102="","",ROUNDUP(MONTH($A102)/3,0))</f>
        <v/>
      </c>
    </row>
    <row r="103" customFormat="false" ht="15" hidden="false" customHeight="false" outlineLevel="0" collapsed="false">
      <c r="A103" s="18"/>
      <c r="B103" s="19"/>
      <c r="C103" s="19"/>
      <c r="D103" s="14"/>
      <c r="E103" s="14"/>
      <c r="F103" s="23"/>
      <c r="G103" s="21" t="str">
        <f aca="false">IF($D103="","",$D103+N($E103))</f>
        <v/>
      </c>
      <c r="H103" s="22" t="str">
        <f aca="false">IF($A103="","",YEAR($A103))</f>
        <v/>
      </c>
      <c r="I103" s="22" t="str">
        <f aca="false">IF($A103="","",ROUNDUP(MONTH($A103)/3,0))</f>
        <v/>
      </c>
    </row>
    <row r="104" customFormat="false" ht="15" hidden="false" customHeight="false" outlineLevel="0" collapsed="false">
      <c r="A104" s="18"/>
      <c r="B104" s="19"/>
      <c r="C104" s="19"/>
      <c r="D104" s="14"/>
      <c r="E104" s="14"/>
      <c r="F104" s="23"/>
      <c r="G104" s="21" t="str">
        <f aca="false">IF($D104="","",$D104+N($E104))</f>
        <v/>
      </c>
      <c r="H104" s="22" t="str">
        <f aca="false">IF($A104="","",YEAR($A104))</f>
        <v/>
      </c>
      <c r="I104" s="22" t="str">
        <f aca="false">IF($A104="","",ROUNDUP(MONTH($A104)/3,0))</f>
        <v/>
      </c>
    </row>
    <row r="105" customFormat="false" ht="15" hidden="false" customHeight="false" outlineLevel="0" collapsed="false">
      <c r="A105" s="18"/>
      <c r="B105" s="19"/>
      <c r="C105" s="19"/>
      <c r="D105" s="14"/>
      <c r="E105" s="14"/>
      <c r="F105" s="23"/>
      <c r="G105" s="21" t="str">
        <f aca="false">IF($D105="","",$D105+N($E105))</f>
        <v/>
      </c>
      <c r="H105" s="22" t="str">
        <f aca="false">IF($A105="","",YEAR($A105))</f>
        <v/>
      </c>
      <c r="I105" s="22" t="str">
        <f aca="false">IF($A105="","",ROUNDUP(MONTH($A105)/3,0))</f>
        <v/>
      </c>
    </row>
    <row r="106" customFormat="false" ht="15" hidden="false" customHeight="false" outlineLevel="0" collapsed="false">
      <c r="A106" s="18"/>
      <c r="B106" s="19"/>
      <c r="C106" s="19"/>
      <c r="D106" s="14"/>
      <c r="E106" s="14"/>
      <c r="F106" s="23"/>
      <c r="G106" s="21" t="str">
        <f aca="false">IF($D106="","",$D106+N($E106))</f>
        <v/>
      </c>
      <c r="H106" s="22" t="str">
        <f aca="false">IF($A106="","",YEAR($A106))</f>
        <v/>
      </c>
      <c r="I106" s="22" t="str">
        <f aca="false">IF($A106="","",ROUNDUP(MONTH($A106)/3,0))</f>
        <v/>
      </c>
    </row>
    <row r="107" customFormat="false" ht="15" hidden="false" customHeight="false" outlineLevel="0" collapsed="false">
      <c r="A107" s="18"/>
      <c r="B107" s="19"/>
      <c r="C107" s="19"/>
      <c r="D107" s="14"/>
      <c r="E107" s="14"/>
      <c r="F107" s="23"/>
      <c r="G107" s="21" t="str">
        <f aca="false">IF($D107="","",$D107+N($E107))</f>
        <v/>
      </c>
      <c r="H107" s="22" t="str">
        <f aca="false">IF($A107="","",YEAR($A107))</f>
        <v/>
      </c>
      <c r="I107" s="22" t="str">
        <f aca="false">IF($A107="","",ROUNDUP(MONTH($A107)/3,0))</f>
        <v/>
      </c>
    </row>
    <row r="108" customFormat="false" ht="15" hidden="false" customHeight="false" outlineLevel="0" collapsed="false">
      <c r="A108" s="18"/>
      <c r="B108" s="19"/>
      <c r="C108" s="19"/>
      <c r="D108" s="14"/>
      <c r="E108" s="14"/>
      <c r="F108" s="23"/>
      <c r="G108" s="21" t="str">
        <f aca="false">IF($D108="","",$D108+N($E108))</f>
        <v/>
      </c>
      <c r="H108" s="22" t="str">
        <f aca="false">IF($A108="","",YEAR($A108))</f>
        <v/>
      </c>
      <c r="I108" s="22" t="str">
        <f aca="false">IF($A108="","",ROUNDUP(MONTH($A108)/3,0))</f>
        <v/>
      </c>
    </row>
    <row r="109" customFormat="false" ht="15" hidden="false" customHeight="false" outlineLevel="0" collapsed="false">
      <c r="A109" s="18"/>
      <c r="B109" s="19"/>
      <c r="C109" s="19"/>
      <c r="D109" s="14"/>
      <c r="E109" s="14"/>
      <c r="F109" s="23"/>
      <c r="G109" s="21" t="str">
        <f aca="false">IF($D109="","",$D109+N($E109))</f>
        <v/>
      </c>
      <c r="H109" s="22" t="str">
        <f aca="false">IF($A109="","",YEAR($A109))</f>
        <v/>
      </c>
      <c r="I109" s="22" t="str">
        <f aca="false">IF($A109="","",ROUNDUP(MONTH($A109)/3,0))</f>
        <v/>
      </c>
    </row>
    <row r="110" customFormat="false" ht="15" hidden="false" customHeight="false" outlineLevel="0" collapsed="false">
      <c r="A110" s="18"/>
      <c r="B110" s="19"/>
      <c r="C110" s="19"/>
      <c r="D110" s="14"/>
      <c r="E110" s="14"/>
      <c r="F110" s="23"/>
      <c r="G110" s="21" t="str">
        <f aca="false">IF($D110="","",$D110+N($E110))</f>
        <v/>
      </c>
      <c r="H110" s="22" t="str">
        <f aca="false">IF($A110="","",YEAR($A110))</f>
        <v/>
      </c>
      <c r="I110" s="22" t="str">
        <f aca="false">IF($A110="","",ROUNDUP(MONTH($A110)/3,0))</f>
        <v/>
      </c>
    </row>
    <row r="111" customFormat="false" ht="15" hidden="false" customHeight="false" outlineLevel="0" collapsed="false">
      <c r="A111" s="18"/>
      <c r="B111" s="19"/>
      <c r="C111" s="19"/>
      <c r="D111" s="14"/>
      <c r="E111" s="14"/>
      <c r="F111" s="23"/>
      <c r="G111" s="21" t="str">
        <f aca="false">IF($D111="","",$D111+N($E111))</f>
        <v/>
      </c>
      <c r="H111" s="22" t="str">
        <f aca="false">IF($A111="","",YEAR($A111))</f>
        <v/>
      </c>
      <c r="I111" s="22" t="str">
        <f aca="false">IF($A111="","",ROUNDUP(MONTH($A111)/3,0))</f>
        <v/>
      </c>
    </row>
    <row r="112" customFormat="false" ht="15" hidden="false" customHeight="false" outlineLevel="0" collapsed="false">
      <c r="A112" s="18"/>
      <c r="B112" s="19"/>
      <c r="C112" s="19"/>
      <c r="D112" s="14"/>
      <c r="E112" s="14"/>
      <c r="F112" s="23"/>
      <c r="G112" s="21" t="str">
        <f aca="false">IF($D112="","",$D112+N($E112))</f>
        <v/>
      </c>
      <c r="H112" s="22" t="str">
        <f aca="false">IF($A112="","",YEAR($A112))</f>
        <v/>
      </c>
      <c r="I112" s="22" t="str">
        <f aca="false">IF($A112="","",ROUNDUP(MONTH($A112)/3,0))</f>
        <v/>
      </c>
    </row>
    <row r="113" customFormat="false" ht="15" hidden="false" customHeight="false" outlineLevel="0" collapsed="false">
      <c r="A113" s="18"/>
      <c r="B113" s="19"/>
      <c r="C113" s="19"/>
      <c r="D113" s="14"/>
      <c r="E113" s="14"/>
      <c r="F113" s="23"/>
      <c r="G113" s="21" t="str">
        <f aca="false">IF($D113="","",$D113+N($E113))</f>
        <v/>
      </c>
      <c r="H113" s="22" t="str">
        <f aca="false">IF($A113="","",YEAR($A113))</f>
        <v/>
      </c>
      <c r="I113" s="22" t="str">
        <f aca="false">IF($A113="","",ROUNDUP(MONTH($A113)/3,0))</f>
        <v/>
      </c>
    </row>
    <row r="114" customFormat="false" ht="15" hidden="false" customHeight="false" outlineLevel="0" collapsed="false">
      <c r="A114" s="18"/>
      <c r="B114" s="19"/>
      <c r="C114" s="19"/>
      <c r="D114" s="14"/>
      <c r="E114" s="14"/>
      <c r="F114" s="23"/>
      <c r="G114" s="21" t="str">
        <f aca="false">IF($D114="","",$D114+N($E114))</f>
        <v/>
      </c>
      <c r="H114" s="22" t="str">
        <f aca="false">IF($A114="","",YEAR($A114))</f>
        <v/>
      </c>
      <c r="I114" s="22" t="str">
        <f aca="false">IF($A114="","",ROUNDUP(MONTH($A114)/3,0))</f>
        <v/>
      </c>
    </row>
    <row r="115" customFormat="false" ht="15" hidden="false" customHeight="false" outlineLevel="0" collapsed="false">
      <c r="A115" s="18"/>
      <c r="B115" s="19"/>
      <c r="C115" s="19"/>
      <c r="D115" s="14"/>
      <c r="E115" s="14"/>
      <c r="F115" s="23"/>
      <c r="G115" s="21" t="str">
        <f aca="false">IF($D115="","",$D115+N($E115))</f>
        <v/>
      </c>
      <c r="H115" s="22" t="str">
        <f aca="false">IF($A115="","",YEAR($A115))</f>
        <v/>
      </c>
      <c r="I115" s="22" t="str">
        <f aca="false">IF($A115="","",ROUNDUP(MONTH($A115)/3,0))</f>
        <v/>
      </c>
    </row>
    <row r="116" customFormat="false" ht="15" hidden="false" customHeight="false" outlineLevel="0" collapsed="false">
      <c r="A116" s="18"/>
      <c r="B116" s="19"/>
      <c r="C116" s="19"/>
      <c r="D116" s="14"/>
      <c r="E116" s="14"/>
      <c r="F116" s="23"/>
      <c r="G116" s="21" t="str">
        <f aca="false">IF($D116="","",$D116+N($E116))</f>
        <v/>
      </c>
      <c r="H116" s="22" t="str">
        <f aca="false">IF($A116="","",YEAR($A116))</f>
        <v/>
      </c>
      <c r="I116" s="22" t="str">
        <f aca="false">IF($A116="","",ROUNDUP(MONTH($A116)/3,0))</f>
        <v/>
      </c>
    </row>
    <row r="117" customFormat="false" ht="15" hidden="false" customHeight="false" outlineLevel="0" collapsed="false">
      <c r="A117" s="18"/>
      <c r="B117" s="19"/>
      <c r="C117" s="19"/>
      <c r="D117" s="14"/>
      <c r="E117" s="14"/>
      <c r="F117" s="23"/>
      <c r="G117" s="21" t="str">
        <f aca="false">IF($D117="","",$D117+N($E117))</f>
        <v/>
      </c>
      <c r="H117" s="22" t="str">
        <f aca="false">IF($A117="","",YEAR($A117))</f>
        <v/>
      </c>
      <c r="I117" s="22" t="str">
        <f aca="false">IF($A117="","",ROUNDUP(MONTH($A117)/3,0))</f>
        <v/>
      </c>
    </row>
    <row r="118" customFormat="false" ht="15" hidden="false" customHeight="false" outlineLevel="0" collapsed="false">
      <c r="A118" s="18"/>
      <c r="B118" s="19"/>
      <c r="C118" s="19"/>
      <c r="D118" s="14"/>
      <c r="E118" s="14"/>
      <c r="F118" s="23"/>
      <c r="G118" s="21" t="str">
        <f aca="false">IF($D118="","",$D118+N($E118))</f>
        <v/>
      </c>
      <c r="H118" s="22" t="str">
        <f aca="false">IF($A118="","",YEAR($A118))</f>
        <v/>
      </c>
      <c r="I118" s="22" t="str">
        <f aca="false">IF($A118="","",ROUNDUP(MONTH($A118)/3,0))</f>
        <v/>
      </c>
    </row>
    <row r="119" customFormat="false" ht="15" hidden="false" customHeight="false" outlineLevel="0" collapsed="false">
      <c r="A119" s="18"/>
      <c r="B119" s="19"/>
      <c r="C119" s="19"/>
      <c r="D119" s="14"/>
      <c r="E119" s="14"/>
      <c r="F119" s="23"/>
      <c r="G119" s="21" t="str">
        <f aca="false">IF($D119="","",$D119+N($E119))</f>
        <v/>
      </c>
      <c r="H119" s="22" t="str">
        <f aca="false">IF($A119="","",YEAR($A119))</f>
        <v/>
      </c>
      <c r="I119" s="22" t="str">
        <f aca="false">IF($A119="","",ROUNDUP(MONTH($A119)/3,0))</f>
        <v/>
      </c>
    </row>
    <row r="120" customFormat="false" ht="15" hidden="false" customHeight="false" outlineLevel="0" collapsed="false">
      <c r="A120" s="18"/>
      <c r="B120" s="19"/>
      <c r="C120" s="19"/>
      <c r="D120" s="14"/>
      <c r="E120" s="14"/>
      <c r="F120" s="23"/>
      <c r="G120" s="21" t="str">
        <f aca="false">IF($D120="","",$D120+N($E120))</f>
        <v/>
      </c>
      <c r="H120" s="22" t="str">
        <f aca="false">IF($A120="","",YEAR($A120))</f>
        <v/>
      </c>
      <c r="I120" s="22" t="str">
        <f aca="false">IF($A120="","",ROUNDUP(MONTH($A120)/3,0))</f>
        <v/>
      </c>
    </row>
    <row r="121" customFormat="false" ht="15" hidden="false" customHeight="false" outlineLevel="0" collapsed="false">
      <c r="A121" s="18"/>
      <c r="B121" s="19"/>
      <c r="C121" s="19"/>
      <c r="D121" s="14"/>
      <c r="E121" s="14"/>
      <c r="F121" s="23"/>
      <c r="G121" s="21" t="str">
        <f aca="false">IF($D121="","",$D121+N($E121))</f>
        <v/>
      </c>
      <c r="H121" s="22" t="str">
        <f aca="false">IF($A121="","",YEAR($A121))</f>
        <v/>
      </c>
      <c r="I121" s="22" t="str">
        <f aca="false">IF($A121="","",ROUNDUP(MONTH($A121)/3,0))</f>
        <v/>
      </c>
    </row>
    <row r="122" customFormat="false" ht="15" hidden="false" customHeight="false" outlineLevel="0" collapsed="false">
      <c r="A122" s="18"/>
      <c r="B122" s="19"/>
      <c r="C122" s="19"/>
      <c r="D122" s="14"/>
      <c r="E122" s="14"/>
      <c r="F122" s="23"/>
      <c r="G122" s="21" t="str">
        <f aca="false">IF($D122="","",$D122+N($E122))</f>
        <v/>
      </c>
      <c r="H122" s="22" t="str">
        <f aca="false">IF($A122="","",YEAR($A122))</f>
        <v/>
      </c>
      <c r="I122" s="22" t="str">
        <f aca="false">IF($A122="","",ROUNDUP(MONTH($A122)/3,0))</f>
        <v/>
      </c>
    </row>
    <row r="123" customFormat="false" ht="15" hidden="false" customHeight="false" outlineLevel="0" collapsed="false">
      <c r="A123" s="18"/>
      <c r="B123" s="19"/>
      <c r="C123" s="19"/>
      <c r="D123" s="14"/>
      <c r="E123" s="14"/>
      <c r="F123" s="23"/>
      <c r="G123" s="21" t="str">
        <f aca="false">IF($D123="","",$D123+N($E123))</f>
        <v/>
      </c>
      <c r="H123" s="22" t="str">
        <f aca="false">IF($A123="","",YEAR($A123))</f>
        <v/>
      </c>
      <c r="I123" s="22" t="str">
        <f aca="false">IF($A123="","",ROUNDUP(MONTH($A123)/3,0))</f>
        <v/>
      </c>
    </row>
    <row r="124" customFormat="false" ht="15" hidden="false" customHeight="false" outlineLevel="0" collapsed="false">
      <c r="A124" s="18"/>
      <c r="B124" s="19"/>
      <c r="C124" s="19"/>
      <c r="D124" s="14"/>
      <c r="E124" s="14"/>
      <c r="F124" s="23"/>
      <c r="G124" s="21" t="str">
        <f aca="false">IF($D124="","",$D124+N($E124))</f>
        <v/>
      </c>
      <c r="H124" s="22" t="str">
        <f aca="false">IF($A124="","",YEAR($A124))</f>
        <v/>
      </c>
      <c r="I124" s="22" t="str">
        <f aca="false">IF($A124="","",ROUNDUP(MONTH($A124)/3,0))</f>
        <v/>
      </c>
    </row>
    <row r="125" customFormat="false" ht="15" hidden="false" customHeight="false" outlineLevel="0" collapsed="false">
      <c r="A125" s="18"/>
      <c r="B125" s="19"/>
      <c r="C125" s="19"/>
      <c r="D125" s="14"/>
      <c r="E125" s="14"/>
      <c r="F125" s="23"/>
      <c r="G125" s="21" t="str">
        <f aca="false">IF($D125="","",$D125+N($E125))</f>
        <v/>
      </c>
      <c r="H125" s="22" t="str">
        <f aca="false">IF($A125="","",YEAR($A125))</f>
        <v/>
      </c>
      <c r="I125" s="22" t="str">
        <f aca="false">IF($A125="","",ROUNDUP(MONTH($A125)/3,0))</f>
        <v/>
      </c>
    </row>
    <row r="126" customFormat="false" ht="15" hidden="false" customHeight="false" outlineLevel="0" collapsed="false">
      <c r="A126" s="18"/>
      <c r="B126" s="19"/>
      <c r="C126" s="19"/>
      <c r="D126" s="14"/>
      <c r="E126" s="14"/>
      <c r="F126" s="23"/>
      <c r="G126" s="21" t="str">
        <f aca="false">IF($D126="","",$D126+N($E126))</f>
        <v/>
      </c>
      <c r="H126" s="22" t="str">
        <f aca="false">IF($A126="","",YEAR($A126))</f>
        <v/>
      </c>
      <c r="I126" s="22" t="str">
        <f aca="false">IF($A126="","",ROUNDUP(MONTH($A126)/3,0))</f>
        <v/>
      </c>
    </row>
    <row r="127" customFormat="false" ht="15" hidden="false" customHeight="false" outlineLevel="0" collapsed="false">
      <c r="A127" s="18"/>
      <c r="B127" s="19"/>
      <c r="C127" s="19"/>
      <c r="D127" s="14"/>
      <c r="E127" s="14"/>
      <c r="F127" s="23"/>
      <c r="G127" s="21" t="str">
        <f aca="false">IF($D127="","",$D127+N($E127))</f>
        <v/>
      </c>
      <c r="H127" s="22" t="str">
        <f aca="false">IF($A127="","",YEAR($A127))</f>
        <v/>
      </c>
      <c r="I127" s="22" t="str">
        <f aca="false">IF($A127="","",ROUNDUP(MONTH($A127)/3,0))</f>
        <v/>
      </c>
    </row>
    <row r="128" customFormat="false" ht="15" hidden="false" customHeight="false" outlineLevel="0" collapsed="false">
      <c r="A128" s="18"/>
      <c r="B128" s="19"/>
      <c r="C128" s="19"/>
      <c r="D128" s="14"/>
      <c r="E128" s="14"/>
      <c r="F128" s="23"/>
      <c r="G128" s="21" t="str">
        <f aca="false">IF($D128="","",$D128+N($E128))</f>
        <v/>
      </c>
      <c r="H128" s="22" t="str">
        <f aca="false">IF($A128="","",YEAR($A128))</f>
        <v/>
      </c>
      <c r="I128" s="22" t="str">
        <f aca="false">IF($A128="","",ROUNDUP(MONTH($A128)/3,0))</f>
        <v/>
      </c>
    </row>
    <row r="129" customFormat="false" ht="15" hidden="false" customHeight="false" outlineLevel="0" collapsed="false">
      <c r="A129" s="18"/>
      <c r="B129" s="19"/>
      <c r="C129" s="19"/>
      <c r="D129" s="14"/>
      <c r="E129" s="14"/>
      <c r="F129" s="23"/>
      <c r="G129" s="21" t="str">
        <f aca="false">IF($D129="","",$D129+N($E129))</f>
        <v/>
      </c>
      <c r="H129" s="22" t="str">
        <f aca="false">IF($A129="","",YEAR($A129))</f>
        <v/>
      </c>
      <c r="I129" s="22" t="str">
        <f aca="false">IF($A129="","",ROUNDUP(MONTH($A129)/3,0))</f>
        <v/>
      </c>
    </row>
    <row r="130" customFormat="false" ht="15" hidden="false" customHeight="false" outlineLevel="0" collapsed="false">
      <c r="A130" s="18"/>
      <c r="B130" s="19"/>
      <c r="C130" s="19"/>
      <c r="D130" s="14"/>
      <c r="E130" s="14"/>
      <c r="F130" s="23"/>
      <c r="G130" s="21" t="str">
        <f aca="false">IF($D130="","",$D130+N($E130))</f>
        <v/>
      </c>
      <c r="H130" s="22" t="str">
        <f aca="false">IF($A130="","",YEAR($A130))</f>
        <v/>
      </c>
      <c r="I130" s="22" t="str">
        <f aca="false">IF($A130="","",ROUNDUP(MONTH($A130)/3,0))</f>
        <v/>
      </c>
    </row>
    <row r="131" customFormat="false" ht="15" hidden="false" customHeight="false" outlineLevel="0" collapsed="false">
      <c r="A131" s="18"/>
      <c r="B131" s="19"/>
      <c r="C131" s="19"/>
      <c r="D131" s="14"/>
      <c r="E131" s="14"/>
      <c r="F131" s="23"/>
      <c r="G131" s="21" t="str">
        <f aca="false">IF($D131="","",$D131+N($E131))</f>
        <v/>
      </c>
      <c r="H131" s="22" t="str">
        <f aca="false">IF($A131="","",YEAR($A131))</f>
        <v/>
      </c>
      <c r="I131" s="22" t="str">
        <f aca="false">IF($A131="","",ROUNDUP(MONTH($A131)/3,0))</f>
        <v/>
      </c>
    </row>
    <row r="132" customFormat="false" ht="15" hidden="false" customHeight="false" outlineLevel="0" collapsed="false">
      <c r="A132" s="18"/>
      <c r="B132" s="19"/>
      <c r="C132" s="19"/>
      <c r="D132" s="14"/>
      <c r="E132" s="14"/>
      <c r="F132" s="23"/>
      <c r="G132" s="21" t="str">
        <f aca="false">IF($D132="","",$D132+N($E132))</f>
        <v/>
      </c>
      <c r="H132" s="22" t="str">
        <f aca="false">IF($A132="","",YEAR($A132))</f>
        <v/>
      </c>
      <c r="I132" s="22" t="str">
        <f aca="false">IF($A132="","",ROUNDUP(MONTH($A132)/3,0))</f>
        <v/>
      </c>
    </row>
    <row r="133" customFormat="false" ht="15" hidden="false" customHeight="false" outlineLevel="0" collapsed="false">
      <c r="A133" s="18"/>
      <c r="B133" s="19"/>
      <c r="C133" s="19"/>
      <c r="D133" s="14"/>
      <c r="E133" s="14"/>
      <c r="F133" s="23"/>
      <c r="G133" s="21" t="str">
        <f aca="false">IF($D133="","",$D133+N($E133))</f>
        <v/>
      </c>
      <c r="H133" s="22" t="str">
        <f aca="false">IF($A133="","",YEAR($A133))</f>
        <v/>
      </c>
      <c r="I133" s="22" t="str">
        <f aca="false">IF($A133="","",ROUNDUP(MONTH($A133)/3,0))</f>
        <v/>
      </c>
    </row>
    <row r="134" customFormat="false" ht="15" hidden="false" customHeight="false" outlineLevel="0" collapsed="false">
      <c r="A134" s="18"/>
      <c r="B134" s="19"/>
      <c r="C134" s="19"/>
      <c r="D134" s="14"/>
      <c r="E134" s="14"/>
      <c r="F134" s="23"/>
      <c r="G134" s="21" t="str">
        <f aca="false">IF($D134="","",$D134+N($E134))</f>
        <v/>
      </c>
      <c r="H134" s="22" t="str">
        <f aca="false">IF($A134="","",YEAR($A134))</f>
        <v/>
      </c>
      <c r="I134" s="22" t="str">
        <f aca="false">IF($A134="","",ROUNDUP(MONTH($A134)/3,0))</f>
        <v/>
      </c>
    </row>
    <row r="135" customFormat="false" ht="15" hidden="false" customHeight="false" outlineLevel="0" collapsed="false">
      <c r="A135" s="18"/>
      <c r="B135" s="19"/>
      <c r="C135" s="19"/>
      <c r="D135" s="14"/>
      <c r="E135" s="14"/>
      <c r="F135" s="23"/>
      <c r="G135" s="21" t="str">
        <f aca="false">IF($D135="","",$D135+N($E135))</f>
        <v/>
      </c>
      <c r="H135" s="22" t="str">
        <f aca="false">IF($A135="","",YEAR($A135))</f>
        <v/>
      </c>
      <c r="I135" s="22" t="str">
        <f aca="false">IF($A135="","",ROUNDUP(MONTH($A135)/3,0))</f>
        <v/>
      </c>
    </row>
    <row r="136" customFormat="false" ht="15" hidden="false" customHeight="false" outlineLevel="0" collapsed="false">
      <c r="A136" s="18"/>
      <c r="B136" s="19"/>
      <c r="C136" s="19"/>
      <c r="D136" s="14"/>
      <c r="E136" s="14"/>
      <c r="F136" s="23"/>
      <c r="G136" s="21" t="str">
        <f aca="false">IF($D136="","",$D136+N($E136))</f>
        <v/>
      </c>
      <c r="H136" s="22" t="str">
        <f aca="false">IF($A136="","",YEAR($A136))</f>
        <v/>
      </c>
      <c r="I136" s="22" t="str">
        <f aca="false">IF($A136="","",ROUNDUP(MONTH($A136)/3,0))</f>
        <v/>
      </c>
    </row>
    <row r="137" customFormat="false" ht="15" hidden="false" customHeight="false" outlineLevel="0" collapsed="false">
      <c r="A137" s="18"/>
      <c r="B137" s="19"/>
      <c r="C137" s="19"/>
      <c r="D137" s="14"/>
      <c r="E137" s="14"/>
      <c r="F137" s="23"/>
      <c r="G137" s="21" t="str">
        <f aca="false">IF($D137="","",$D137+N($E137))</f>
        <v/>
      </c>
      <c r="H137" s="22" t="str">
        <f aca="false">IF($A137="","",YEAR($A137))</f>
        <v/>
      </c>
      <c r="I137" s="22" t="str">
        <f aca="false">IF($A137="","",ROUNDUP(MONTH($A137)/3,0))</f>
        <v/>
      </c>
    </row>
    <row r="138" customFormat="false" ht="15" hidden="false" customHeight="false" outlineLevel="0" collapsed="false">
      <c r="A138" s="18"/>
      <c r="B138" s="19"/>
      <c r="C138" s="19"/>
      <c r="D138" s="14"/>
      <c r="E138" s="14"/>
      <c r="F138" s="23"/>
      <c r="G138" s="21" t="str">
        <f aca="false">IF($D138="","",$D138+N($E138))</f>
        <v/>
      </c>
      <c r="H138" s="22" t="str">
        <f aca="false">IF($A138="","",YEAR($A138))</f>
        <v/>
      </c>
      <c r="I138" s="22" t="str">
        <f aca="false">IF($A138="","",ROUNDUP(MONTH($A138)/3,0))</f>
        <v/>
      </c>
    </row>
    <row r="139" customFormat="false" ht="15" hidden="false" customHeight="false" outlineLevel="0" collapsed="false">
      <c r="A139" s="18"/>
      <c r="B139" s="19"/>
      <c r="C139" s="19"/>
      <c r="D139" s="14"/>
      <c r="E139" s="14"/>
      <c r="F139" s="23"/>
      <c r="G139" s="21" t="str">
        <f aca="false">IF($D139="","",$D139+N($E139))</f>
        <v/>
      </c>
      <c r="H139" s="22" t="str">
        <f aca="false">IF($A139="","",YEAR($A139))</f>
        <v/>
      </c>
      <c r="I139" s="22" t="str">
        <f aca="false">IF($A139="","",ROUNDUP(MONTH($A139)/3,0))</f>
        <v/>
      </c>
    </row>
    <row r="140" customFormat="false" ht="15" hidden="false" customHeight="false" outlineLevel="0" collapsed="false">
      <c r="A140" s="18"/>
      <c r="B140" s="19"/>
      <c r="C140" s="19"/>
      <c r="D140" s="14"/>
      <c r="E140" s="14"/>
      <c r="F140" s="23"/>
      <c r="G140" s="21" t="str">
        <f aca="false">IF($D140="","",$D140+N($E140))</f>
        <v/>
      </c>
      <c r="H140" s="22" t="str">
        <f aca="false">IF($A140="","",YEAR($A140))</f>
        <v/>
      </c>
      <c r="I140" s="22" t="str">
        <f aca="false">IF($A140="","",ROUNDUP(MONTH($A140)/3,0))</f>
        <v/>
      </c>
    </row>
    <row r="141" customFormat="false" ht="15" hidden="false" customHeight="false" outlineLevel="0" collapsed="false">
      <c r="A141" s="18"/>
      <c r="B141" s="19"/>
      <c r="C141" s="19"/>
      <c r="D141" s="14"/>
      <c r="E141" s="14"/>
      <c r="F141" s="23"/>
      <c r="G141" s="21" t="str">
        <f aca="false">IF($D141="","",$D141+N($E141))</f>
        <v/>
      </c>
      <c r="H141" s="22" t="str">
        <f aca="false">IF($A141="","",YEAR($A141))</f>
        <v/>
      </c>
      <c r="I141" s="22" t="str">
        <f aca="false">IF($A141="","",ROUNDUP(MONTH($A141)/3,0))</f>
        <v/>
      </c>
    </row>
    <row r="142" customFormat="false" ht="15" hidden="false" customHeight="false" outlineLevel="0" collapsed="false">
      <c r="A142" s="18"/>
      <c r="B142" s="19"/>
      <c r="C142" s="19"/>
      <c r="D142" s="14"/>
      <c r="E142" s="14"/>
      <c r="F142" s="23"/>
      <c r="G142" s="21" t="str">
        <f aca="false">IF($D142="","",$D142+N($E142))</f>
        <v/>
      </c>
      <c r="H142" s="22" t="str">
        <f aca="false">IF($A142="","",YEAR($A142))</f>
        <v/>
      </c>
      <c r="I142" s="22" t="str">
        <f aca="false">IF($A142="","",ROUNDUP(MONTH($A142)/3,0))</f>
        <v/>
      </c>
    </row>
    <row r="143" customFormat="false" ht="15" hidden="false" customHeight="false" outlineLevel="0" collapsed="false">
      <c r="A143" s="18"/>
      <c r="B143" s="19"/>
      <c r="C143" s="19"/>
      <c r="D143" s="14"/>
      <c r="E143" s="14"/>
      <c r="F143" s="23"/>
      <c r="G143" s="21" t="str">
        <f aca="false">IF($D143="","",$D143+N($E143))</f>
        <v/>
      </c>
      <c r="H143" s="22" t="str">
        <f aca="false">IF($A143="","",YEAR($A143))</f>
        <v/>
      </c>
      <c r="I143" s="22" t="str">
        <f aca="false">IF($A143="","",ROUNDUP(MONTH($A143)/3,0))</f>
        <v/>
      </c>
    </row>
    <row r="144" customFormat="false" ht="15" hidden="false" customHeight="false" outlineLevel="0" collapsed="false">
      <c r="A144" s="18"/>
      <c r="B144" s="19"/>
      <c r="C144" s="19"/>
      <c r="D144" s="14"/>
      <c r="E144" s="14"/>
      <c r="F144" s="23"/>
      <c r="G144" s="21" t="str">
        <f aca="false">IF($D144="","",$D144+N($E144))</f>
        <v/>
      </c>
      <c r="H144" s="22" t="str">
        <f aca="false">IF($A144="","",YEAR($A144))</f>
        <v/>
      </c>
      <c r="I144" s="22" t="str">
        <f aca="false">IF($A144="","",ROUNDUP(MONTH($A144)/3,0))</f>
        <v/>
      </c>
    </row>
    <row r="145" customFormat="false" ht="15" hidden="false" customHeight="false" outlineLevel="0" collapsed="false">
      <c r="A145" s="18"/>
      <c r="B145" s="19"/>
      <c r="C145" s="19"/>
      <c r="D145" s="14"/>
      <c r="E145" s="14"/>
      <c r="F145" s="23"/>
      <c r="G145" s="21" t="str">
        <f aca="false">IF($D145="","",$D145+N($E145))</f>
        <v/>
      </c>
      <c r="H145" s="22" t="str">
        <f aca="false">IF($A145="","",YEAR($A145))</f>
        <v/>
      </c>
      <c r="I145" s="22" t="str">
        <f aca="false">IF($A145="","",ROUNDUP(MONTH($A145)/3,0))</f>
        <v/>
      </c>
    </row>
    <row r="146" customFormat="false" ht="15" hidden="false" customHeight="false" outlineLevel="0" collapsed="false">
      <c r="A146" s="18"/>
      <c r="B146" s="19"/>
      <c r="C146" s="19"/>
      <c r="D146" s="14"/>
      <c r="E146" s="14"/>
      <c r="F146" s="23"/>
      <c r="G146" s="21" t="str">
        <f aca="false">IF($D146="","",$D146+N($E146))</f>
        <v/>
      </c>
      <c r="H146" s="22" t="str">
        <f aca="false">IF($A146="","",YEAR($A146))</f>
        <v/>
      </c>
      <c r="I146" s="22" t="str">
        <f aca="false">IF($A146="","",ROUNDUP(MONTH($A146)/3,0))</f>
        <v/>
      </c>
    </row>
    <row r="147" customFormat="false" ht="15" hidden="false" customHeight="false" outlineLevel="0" collapsed="false">
      <c r="A147" s="18"/>
      <c r="B147" s="19"/>
      <c r="C147" s="19"/>
      <c r="D147" s="14"/>
      <c r="E147" s="14"/>
      <c r="F147" s="23"/>
      <c r="G147" s="21" t="str">
        <f aca="false">IF($D147="","",$D147+N($E147))</f>
        <v/>
      </c>
      <c r="H147" s="22" t="str">
        <f aca="false">IF($A147="","",YEAR($A147))</f>
        <v/>
      </c>
      <c r="I147" s="22" t="str">
        <f aca="false">IF($A147="","",ROUNDUP(MONTH($A147)/3,0))</f>
        <v/>
      </c>
    </row>
    <row r="148" customFormat="false" ht="15" hidden="false" customHeight="false" outlineLevel="0" collapsed="false">
      <c r="A148" s="18"/>
      <c r="B148" s="19"/>
      <c r="C148" s="19"/>
      <c r="D148" s="14"/>
      <c r="E148" s="14"/>
      <c r="F148" s="23"/>
      <c r="G148" s="21" t="str">
        <f aca="false">IF($D148="","",$D148+N($E148))</f>
        <v/>
      </c>
      <c r="H148" s="22" t="str">
        <f aca="false">IF($A148="","",YEAR($A148))</f>
        <v/>
      </c>
      <c r="I148" s="22" t="str">
        <f aca="false">IF($A148="","",ROUNDUP(MONTH($A148)/3,0))</f>
        <v/>
      </c>
    </row>
    <row r="149" customFormat="false" ht="15" hidden="false" customHeight="false" outlineLevel="0" collapsed="false">
      <c r="A149" s="18"/>
      <c r="B149" s="19"/>
      <c r="C149" s="19"/>
      <c r="D149" s="14"/>
      <c r="E149" s="14"/>
      <c r="F149" s="23"/>
      <c r="G149" s="21" t="str">
        <f aca="false">IF($D149="","",$D149+N($E149))</f>
        <v/>
      </c>
      <c r="H149" s="22" t="str">
        <f aca="false">IF($A149="","",YEAR($A149))</f>
        <v/>
      </c>
      <c r="I149" s="22" t="str">
        <f aca="false">IF($A149="","",ROUNDUP(MONTH($A149)/3,0))</f>
        <v/>
      </c>
    </row>
    <row r="150" customFormat="false" ht="15" hidden="false" customHeight="false" outlineLevel="0" collapsed="false">
      <c r="A150" s="18"/>
      <c r="B150" s="19"/>
      <c r="C150" s="19"/>
      <c r="D150" s="14"/>
      <c r="E150" s="14"/>
      <c r="F150" s="23"/>
      <c r="G150" s="21" t="str">
        <f aca="false">IF($D150="","",$D150+N($E150))</f>
        <v/>
      </c>
      <c r="H150" s="22" t="str">
        <f aca="false">IF($A150="","",YEAR($A150))</f>
        <v/>
      </c>
      <c r="I150" s="22" t="str">
        <f aca="false">IF($A150="","",ROUNDUP(MONTH($A150)/3,0))</f>
        <v/>
      </c>
    </row>
    <row r="151" customFormat="false" ht="15" hidden="false" customHeight="false" outlineLevel="0" collapsed="false">
      <c r="A151" s="18"/>
      <c r="B151" s="19"/>
      <c r="C151" s="19"/>
      <c r="D151" s="14"/>
      <c r="E151" s="14"/>
      <c r="F151" s="23"/>
      <c r="G151" s="21" t="str">
        <f aca="false">IF($D151="","",$D151+N($E151))</f>
        <v/>
      </c>
      <c r="H151" s="22" t="str">
        <f aca="false">IF($A151="","",YEAR($A151))</f>
        <v/>
      </c>
      <c r="I151" s="22" t="str">
        <f aca="false">IF($A151="","",ROUNDUP(MONTH($A151)/3,0))</f>
        <v/>
      </c>
    </row>
    <row r="152" customFormat="false" ht="15" hidden="false" customHeight="false" outlineLevel="0" collapsed="false">
      <c r="A152" s="18"/>
      <c r="B152" s="19"/>
      <c r="C152" s="19"/>
      <c r="D152" s="14"/>
      <c r="E152" s="14"/>
      <c r="F152" s="23"/>
      <c r="G152" s="21" t="str">
        <f aca="false">IF($D152="","",$D152+N($E152))</f>
        <v/>
      </c>
      <c r="H152" s="22" t="str">
        <f aca="false">IF($A152="","",YEAR($A152))</f>
        <v/>
      </c>
      <c r="I152" s="22" t="str">
        <f aca="false">IF($A152="","",ROUNDUP(MONTH($A152)/3,0))</f>
        <v/>
      </c>
    </row>
    <row r="153" customFormat="false" ht="15" hidden="false" customHeight="false" outlineLevel="0" collapsed="false">
      <c r="A153" s="18"/>
      <c r="B153" s="19"/>
      <c r="C153" s="19"/>
      <c r="D153" s="14"/>
      <c r="E153" s="14"/>
      <c r="F153" s="23"/>
      <c r="G153" s="21" t="str">
        <f aca="false">IF($D153="","",$D153+N($E153))</f>
        <v/>
      </c>
      <c r="H153" s="22" t="str">
        <f aca="false">IF($A153="","",YEAR($A153))</f>
        <v/>
      </c>
      <c r="I153" s="22" t="str">
        <f aca="false">IF($A153="","",ROUNDUP(MONTH($A153)/3,0))</f>
        <v/>
      </c>
    </row>
    <row r="154" customFormat="false" ht="15" hidden="false" customHeight="false" outlineLevel="0" collapsed="false">
      <c r="A154" s="18"/>
      <c r="B154" s="19"/>
      <c r="C154" s="19"/>
      <c r="D154" s="14"/>
      <c r="E154" s="14"/>
      <c r="F154" s="23"/>
      <c r="G154" s="21" t="str">
        <f aca="false">IF($D154="","",$D154+N($E154))</f>
        <v/>
      </c>
      <c r="H154" s="22" t="str">
        <f aca="false">IF($A154="","",YEAR($A154))</f>
        <v/>
      </c>
      <c r="I154" s="22" t="str">
        <f aca="false">IF($A154="","",ROUNDUP(MONTH($A154)/3,0))</f>
        <v/>
      </c>
    </row>
    <row r="155" customFormat="false" ht="15" hidden="false" customHeight="false" outlineLevel="0" collapsed="false">
      <c r="A155" s="18"/>
      <c r="B155" s="19"/>
      <c r="C155" s="19"/>
      <c r="D155" s="14"/>
      <c r="E155" s="14"/>
      <c r="F155" s="23"/>
      <c r="G155" s="21" t="str">
        <f aca="false">IF($D155="","",$D155+N($E155))</f>
        <v/>
      </c>
      <c r="H155" s="22" t="str">
        <f aca="false">IF($A155="","",YEAR($A155))</f>
        <v/>
      </c>
      <c r="I155" s="22" t="str">
        <f aca="false">IF($A155="","",ROUNDUP(MONTH($A155)/3,0))</f>
        <v/>
      </c>
    </row>
    <row r="156" customFormat="false" ht="15" hidden="false" customHeight="false" outlineLevel="0" collapsed="false">
      <c r="A156" s="18"/>
      <c r="B156" s="19"/>
      <c r="C156" s="19"/>
      <c r="D156" s="14"/>
      <c r="E156" s="14"/>
      <c r="F156" s="23"/>
      <c r="G156" s="21" t="str">
        <f aca="false">IF($D156="","",$D156+N($E156))</f>
        <v/>
      </c>
      <c r="H156" s="22" t="str">
        <f aca="false">IF($A156="","",YEAR($A156))</f>
        <v/>
      </c>
      <c r="I156" s="22" t="str">
        <f aca="false">IF($A156="","",ROUNDUP(MONTH($A156)/3,0))</f>
        <v/>
      </c>
    </row>
    <row r="157" customFormat="false" ht="15" hidden="false" customHeight="false" outlineLevel="0" collapsed="false">
      <c r="A157" s="18"/>
      <c r="B157" s="19"/>
      <c r="C157" s="19"/>
      <c r="D157" s="14"/>
      <c r="E157" s="14"/>
      <c r="F157" s="23"/>
      <c r="G157" s="21" t="str">
        <f aca="false">IF($D157="","",$D157+N($E157))</f>
        <v/>
      </c>
      <c r="H157" s="22" t="str">
        <f aca="false">IF($A157="","",YEAR($A157))</f>
        <v/>
      </c>
      <c r="I157" s="22" t="str">
        <f aca="false">IF($A157="","",ROUNDUP(MONTH($A157)/3,0))</f>
        <v/>
      </c>
    </row>
    <row r="158" customFormat="false" ht="15" hidden="false" customHeight="false" outlineLevel="0" collapsed="false">
      <c r="A158" s="18"/>
      <c r="B158" s="19"/>
      <c r="C158" s="19"/>
      <c r="D158" s="14"/>
      <c r="E158" s="14"/>
      <c r="F158" s="23"/>
      <c r="G158" s="21" t="str">
        <f aca="false">IF($D158="","",$D158+N($E158))</f>
        <v/>
      </c>
      <c r="H158" s="22" t="str">
        <f aca="false">IF($A158="","",YEAR($A158))</f>
        <v/>
      </c>
      <c r="I158" s="22" t="str">
        <f aca="false">IF($A158="","",ROUNDUP(MONTH($A158)/3,0))</f>
        <v/>
      </c>
    </row>
    <row r="159" customFormat="false" ht="15" hidden="false" customHeight="false" outlineLevel="0" collapsed="false">
      <c r="A159" s="18"/>
      <c r="B159" s="19"/>
      <c r="C159" s="19"/>
      <c r="D159" s="14"/>
      <c r="E159" s="14"/>
      <c r="F159" s="23"/>
      <c r="G159" s="21" t="str">
        <f aca="false">IF($D159="","",$D159+N($E159))</f>
        <v/>
      </c>
      <c r="H159" s="22" t="str">
        <f aca="false">IF($A159="","",YEAR($A159))</f>
        <v/>
      </c>
      <c r="I159" s="22" t="str">
        <f aca="false">IF($A159="","",ROUNDUP(MONTH($A159)/3,0))</f>
        <v/>
      </c>
    </row>
    <row r="160" customFormat="false" ht="15" hidden="false" customHeight="false" outlineLevel="0" collapsed="false">
      <c r="A160" s="18"/>
      <c r="B160" s="19"/>
      <c r="C160" s="19"/>
      <c r="D160" s="14"/>
      <c r="E160" s="14"/>
      <c r="F160" s="23"/>
      <c r="G160" s="21" t="str">
        <f aca="false">IF($D160="","",$D160+N($E160))</f>
        <v/>
      </c>
      <c r="H160" s="22" t="str">
        <f aca="false">IF($A160="","",YEAR($A160))</f>
        <v/>
      </c>
      <c r="I160" s="22" t="str">
        <f aca="false">IF($A160="","",ROUNDUP(MONTH($A160)/3,0))</f>
        <v/>
      </c>
    </row>
    <row r="161" customFormat="false" ht="15" hidden="false" customHeight="false" outlineLevel="0" collapsed="false">
      <c r="A161" s="18"/>
      <c r="B161" s="19"/>
      <c r="C161" s="19"/>
      <c r="D161" s="14"/>
      <c r="E161" s="14"/>
      <c r="F161" s="23"/>
      <c r="G161" s="21" t="str">
        <f aca="false">IF($D161="","",$D161+N($E161))</f>
        <v/>
      </c>
      <c r="H161" s="22" t="str">
        <f aca="false">IF($A161="","",YEAR($A161))</f>
        <v/>
      </c>
      <c r="I161" s="22" t="str">
        <f aca="false">IF($A161="","",ROUNDUP(MONTH($A161)/3,0))</f>
        <v/>
      </c>
    </row>
    <row r="162" customFormat="false" ht="15" hidden="false" customHeight="false" outlineLevel="0" collapsed="false">
      <c r="A162" s="18"/>
      <c r="B162" s="19"/>
      <c r="C162" s="19"/>
      <c r="D162" s="14"/>
      <c r="E162" s="14"/>
      <c r="F162" s="23"/>
      <c r="G162" s="21" t="str">
        <f aca="false">IF($D162="","",$D162+N($E162))</f>
        <v/>
      </c>
      <c r="H162" s="22" t="str">
        <f aca="false">IF($A162="","",YEAR($A162))</f>
        <v/>
      </c>
      <c r="I162" s="22" t="str">
        <f aca="false">IF($A162="","",ROUNDUP(MONTH($A162)/3,0))</f>
        <v/>
      </c>
    </row>
    <row r="163" customFormat="false" ht="15" hidden="false" customHeight="false" outlineLevel="0" collapsed="false">
      <c r="A163" s="18"/>
      <c r="B163" s="19"/>
      <c r="C163" s="19"/>
      <c r="D163" s="14"/>
      <c r="E163" s="14"/>
      <c r="F163" s="23"/>
      <c r="G163" s="21" t="str">
        <f aca="false">IF($D163="","",$D163+N($E163))</f>
        <v/>
      </c>
      <c r="H163" s="22" t="str">
        <f aca="false">IF($A163="","",YEAR($A163))</f>
        <v/>
      </c>
      <c r="I163" s="22" t="str">
        <f aca="false">IF($A163="","",ROUNDUP(MONTH($A163)/3,0))</f>
        <v/>
      </c>
    </row>
    <row r="164" customFormat="false" ht="15" hidden="false" customHeight="false" outlineLevel="0" collapsed="false">
      <c r="A164" s="18"/>
      <c r="B164" s="19"/>
      <c r="C164" s="19"/>
      <c r="D164" s="14"/>
      <c r="E164" s="14"/>
      <c r="F164" s="23"/>
      <c r="G164" s="21" t="str">
        <f aca="false">IF($D164="","",$D164+N($E164))</f>
        <v/>
      </c>
      <c r="H164" s="22" t="str">
        <f aca="false">IF($A164="","",YEAR($A164))</f>
        <v/>
      </c>
      <c r="I164" s="22" t="str">
        <f aca="false">IF($A164="","",ROUNDUP(MONTH($A164)/3,0))</f>
        <v/>
      </c>
    </row>
    <row r="165" customFormat="false" ht="15" hidden="false" customHeight="false" outlineLevel="0" collapsed="false">
      <c r="A165" s="18"/>
      <c r="B165" s="19"/>
      <c r="C165" s="19"/>
      <c r="D165" s="14"/>
      <c r="E165" s="14"/>
      <c r="F165" s="23"/>
      <c r="G165" s="21" t="str">
        <f aca="false">IF($D165="","",$D165+N($E165))</f>
        <v/>
      </c>
      <c r="H165" s="22" t="str">
        <f aca="false">IF($A165="","",YEAR($A165))</f>
        <v/>
      </c>
      <c r="I165" s="22" t="str">
        <f aca="false">IF($A165="","",ROUNDUP(MONTH($A165)/3,0))</f>
        <v/>
      </c>
    </row>
    <row r="166" customFormat="false" ht="15" hidden="false" customHeight="false" outlineLevel="0" collapsed="false">
      <c r="A166" s="18"/>
      <c r="B166" s="19"/>
      <c r="C166" s="19"/>
      <c r="D166" s="14"/>
      <c r="E166" s="14"/>
      <c r="F166" s="23"/>
      <c r="G166" s="21" t="str">
        <f aca="false">IF($D166="","",$D166+N($E166))</f>
        <v/>
      </c>
      <c r="H166" s="22" t="str">
        <f aca="false">IF($A166="","",YEAR($A166))</f>
        <v/>
      </c>
      <c r="I166" s="22" t="str">
        <f aca="false">IF($A166="","",ROUNDUP(MONTH($A166)/3,0))</f>
        <v/>
      </c>
    </row>
    <row r="167" customFormat="false" ht="15" hidden="false" customHeight="false" outlineLevel="0" collapsed="false">
      <c r="A167" s="18"/>
      <c r="B167" s="19"/>
      <c r="C167" s="19"/>
      <c r="D167" s="14"/>
      <c r="E167" s="14"/>
      <c r="F167" s="23"/>
      <c r="G167" s="21" t="str">
        <f aca="false">IF($D167="","",$D167+N($E167))</f>
        <v/>
      </c>
      <c r="H167" s="22" t="str">
        <f aca="false">IF($A167="","",YEAR($A167))</f>
        <v/>
      </c>
      <c r="I167" s="22" t="str">
        <f aca="false">IF($A167="","",ROUNDUP(MONTH($A167)/3,0))</f>
        <v/>
      </c>
    </row>
    <row r="168" customFormat="false" ht="15" hidden="false" customHeight="false" outlineLevel="0" collapsed="false">
      <c r="A168" s="18"/>
      <c r="B168" s="19"/>
      <c r="C168" s="19"/>
      <c r="D168" s="14"/>
      <c r="E168" s="14"/>
      <c r="F168" s="23"/>
      <c r="G168" s="21" t="str">
        <f aca="false">IF($D168="","",$D168+N($E168))</f>
        <v/>
      </c>
      <c r="H168" s="22" t="str">
        <f aca="false">IF($A168="","",YEAR($A168))</f>
        <v/>
      </c>
      <c r="I168" s="22" t="str">
        <f aca="false">IF($A168="","",ROUNDUP(MONTH($A168)/3,0))</f>
        <v/>
      </c>
    </row>
    <row r="169" customFormat="false" ht="15" hidden="false" customHeight="false" outlineLevel="0" collapsed="false">
      <c r="A169" s="18"/>
      <c r="B169" s="19"/>
      <c r="C169" s="19"/>
      <c r="D169" s="14"/>
      <c r="E169" s="14"/>
      <c r="F169" s="23"/>
      <c r="G169" s="21" t="str">
        <f aca="false">IF($D169="","",$D169+N($E169))</f>
        <v/>
      </c>
      <c r="H169" s="22" t="str">
        <f aca="false">IF($A169="","",YEAR($A169))</f>
        <v/>
      </c>
      <c r="I169" s="22" t="str">
        <f aca="false">IF($A169="","",ROUNDUP(MONTH($A169)/3,0))</f>
        <v/>
      </c>
    </row>
    <row r="170" customFormat="false" ht="15" hidden="false" customHeight="false" outlineLevel="0" collapsed="false">
      <c r="A170" s="18"/>
      <c r="B170" s="19"/>
      <c r="C170" s="19"/>
      <c r="D170" s="14"/>
      <c r="E170" s="14"/>
      <c r="F170" s="23"/>
      <c r="G170" s="21" t="str">
        <f aca="false">IF($D170="","",$D170+N($E170))</f>
        <v/>
      </c>
      <c r="H170" s="22" t="str">
        <f aca="false">IF($A170="","",YEAR($A170))</f>
        <v/>
      </c>
      <c r="I170" s="22" t="str">
        <f aca="false">IF($A170="","",ROUNDUP(MONTH($A170)/3,0))</f>
        <v/>
      </c>
    </row>
    <row r="171" customFormat="false" ht="15" hidden="false" customHeight="false" outlineLevel="0" collapsed="false">
      <c r="A171" s="18"/>
      <c r="B171" s="19"/>
      <c r="C171" s="19"/>
      <c r="D171" s="14"/>
      <c r="E171" s="14"/>
      <c r="F171" s="23"/>
      <c r="G171" s="21" t="str">
        <f aca="false">IF($D171="","",$D171+N($E171))</f>
        <v/>
      </c>
      <c r="H171" s="22" t="str">
        <f aca="false">IF($A171="","",YEAR($A171))</f>
        <v/>
      </c>
      <c r="I171" s="22" t="str">
        <f aca="false">IF($A171="","",ROUNDUP(MONTH($A171)/3,0))</f>
        <v/>
      </c>
    </row>
    <row r="172" customFormat="false" ht="15" hidden="false" customHeight="false" outlineLevel="0" collapsed="false">
      <c r="A172" s="18"/>
      <c r="B172" s="19"/>
      <c r="C172" s="19"/>
      <c r="D172" s="14"/>
      <c r="E172" s="14"/>
      <c r="F172" s="23"/>
      <c r="G172" s="21" t="str">
        <f aca="false">IF($D172="","",$D172+N($E172))</f>
        <v/>
      </c>
      <c r="H172" s="22" t="str">
        <f aca="false">IF($A172="","",YEAR($A172))</f>
        <v/>
      </c>
      <c r="I172" s="22" t="str">
        <f aca="false">IF($A172="","",ROUNDUP(MONTH($A172)/3,0))</f>
        <v/>
      </c>
    </row>
    <row r="173" customFormat="false" ht="15" hidden="false" customHeight="false" outlineLevel="0" collapsed="false">
      <c r="A173" s="18"/>
      <c r="B173" s="19"/>
      <c r="C173" s="19"/>
      <c r="D173" s="14"/>
      <c r="E173" s="14"/>
      <c r="F173" s="23"/>
      <c r="G173" s="21" t="str">
        <f aca="false">IF($D173="","",$D173+N($E173))</f>
        <v/>
      </c>
      <c r="H173" s="22" t="str">
        <f aca="false">IF($A173="","",YEAR($A173))</f>
        <v/>
      </c>
      <c r="I173" s="22" t="str">
        <f aca="false">IF($A173="","",ROUNDUP(MONTH($A173)/3,0))</f>
        <v/>
      </c>
    </row>
    <row r="174" customFormat="false" ht="15" hidden="false" customHeight="false" outlineLevel="0" collapsed="false">
      <c r="A174" s="18"/>
      <c r="B174" s="19"/>
      <c r="C174" s="19"/>
      <c r="D174" s="14"/>
      <c r="E174" s="14"/>
      <c r="F174" s="23"/>
      <c r="G174" s="21" t="str">
        <f aca="false">IF($D174="","",$D174+N($E174))</f>
        <v/>
      </c>
      <c r="H174" s="22" t="str">
        <f aca="false">IF($A174="","",YEAR($A174))</f>
        <v/>
      </c>
      <c r="I174" s="22" t="str">
        <f aca="false">IF($A174="","",ROUNDUP(MONTH($A174)/3,0))</f>
        <v/>
      </c>
    </row>
    <row r="175" customFormat="false" ht="15" hidden="false" customHeight="false" outlineLevel="0" collapsed="false">
      <c r="A175" s="18"/>
      <c r="B175" s="19"/>
      <c r="C175" s="19"/>
      <c r="D175" s="14"/>
      <c r="E175" s="14"/>
      <c r="F175" s="23"/>
      <c r="G175" s="21" t="str">
        <f aca="false">IF($D175="","",$D175+N($E175))</f>
        <v/>
      </c>
      <c r="H175" s="22" t="str">
        <f aca="false">IF($A175="","",YEAR($A175))</f>
        <v/>
      </c>
      <c r="I175" s="22" t="str">
        <f aca="false">IF($A175="","",ROUNDUP(MONTH($A175)/3,0))</f>
        <v/>
      </c>
    </row>
    <row r="176" customFormat="false" ht="15" hidden="false" customHeight="false" outlineLevel="0" collapsed="false">
      <c r="A176" s="18"/>
      <c r="B176" s="19"/>
      <c r="C176" s="19"/>
      <c r="D176" s="14"/>
      <c r="E176" s="14"/>
      <c r="F176" s="23"/>
      <c r="G176" s="21" t="str">
        <f aca="false">IF($D176="","",$D176+N($E176))</f>
        <v/>
      </c>
      <c r="H176" s="22" t="str">
        <f aca="false">IF($A176="","",YEAR($A176))</f>
        <v/>
      </c>
      <c r="I176" s="22" t="str">
        <f aca="false">IF($A176="","",ROUNDUP(MONTH($A176)/3,0))</f>
        <v/>
      </c>
    </row>
    <row r="177" customFormat="false" ht="15" hidden="false" customHeight="false" outlineLevel="0" collapsed="false">
      <c r="A177" s="18"/>
      <c r="B177" s="19"/>
      <c r="C177" s="19"/>
      <c r="D177" s="14"/>
      <c r="E177" s="14"/>
      <c r="F177" s="23"/>
      <c r="G177" s="21" t="str">
        <f aca="false">IF($D177="","",$D177+N($E177))</f>
        <v/>
      </c>
      <c r="H177" s="22" t="str">
        <f aca="false">IF($A177="","",YEAR($A177))</f>
        <v/>
      </c>
      <c r="I177" s="22" t="str">
        <f aca="false">IF($A177="","",ROUNDUP(MONTH($A177)/3,0))</f>
        <v/>
      </c>
    </row>
    <row r="178" customFormat="false" ht="15" hidden="false" customHeight="false" outlineLevel="0" collapsed="false">
      <c r="A178" s="18"/>
      <c r="B178" s="19"/>
      <c r="C178" s="19"/>
      <c r="D178" s="14"/>
      <c r="E178" s="14"/>
      <c r="F178" s="23"/>
      <c r="G178" s="21" t="str">
        <f aca="false">IF($D178="","",$D178+N($E178))</f>
        <v/>
      </c>
      <c r="H178" s="22" t="str">
        <f aca="false">IF($A178="","",YEAR($A178))</f>
        <v/>
      </c>
      <c r="I178" s="22" t="str">
        <f aca="false">IF($A178="","",ROUNDUP(MONTH($A178)/3,0))</f>
        <v/>
      </c>
    </row>
    <row r="179" customFormat="false" ht="15" hidden="false" customHeight="false" outlineLevel="0" collapsed="false">
      <c r="A179" s="18"/>
      <c r="B179" s="19"/>
      <c r="C179" s="19"/>
      <c r="D179" s="14"/>
      <c r="E179" s="14"/>
      <c r="F179" s="23"/>
      <c r="G179" s="21" t="str">
        <f aca="false">IF($D179="","",$D179+N($E179))</f>
        <v/>
      </c>
      <c r="H179" s="22" t="str">
        <f aca="false">IF($A179="","",YEAR($A179))</f>
        <v/>
      </c>
      <c r="I179" s="22" t="str">
        <f aca="false">IF($A179="","",ROUNDUP(MONTH($A179)/3,0))</f>
        <v/>
      </c>
    </row>
    <row r="180" customFormat="false" ht="15" hidden="false" customHeight="false" outlineLevel="0" collapsed="false">
      <c r="A180" s="18"/>
      <c r="B180" s="19"/>
      <c r="C180" s="19"/>
      <c r="D180" s="14"/>
      <c r="E180" s="14"/>
      <c r="F180" s="23"/>
      <c r="G180" s="21" t="str">
        <f aca="false">IF($D180="","",$D180+N($E180))</f>
        <v/>
      </c>
      <c r="H180" s="22" t="str">
        <f aca="false">IF($A180="","",YEAR($A180))</f>
        <v/>
      </c>
      <c r="I180" s="22" t="str">
        <f aca="false">IF($A180="","",ROUNDUP(MONTH($A180)/3,0))</f>
        <v/>
      </c>
    </row>
    <row r="181" customFormat="false" ht="15" hidden="false" customHeight="false" outlineLevel="0" collapsed="false">
      <c r="A181" s="18"/>
      <c r="B181" s="19"/>
      <c r="C181" s="19"/>
      <c r="D181" s="14"/>
      <c r="E181" s="14"/>
      <c r="F181" s="23"/>
      <c r="G181" s="21" t="str">
        <f aca="false">IF($D181="","",$D181+N($E181))</f>
        <v/>
      </c>
      <c r="H181" s="22" t="str">
        <f aca="false">IF($A181="","",YEAR($A181))</f>
        <v/>
      </c>
      <c r="I181" s="22" t="str">
        <f aca="false">IF($A181="","",ROUNDUP(MONTH($A181)/3,0))</f>
        <v/>
      </c>
    </row>
    <row r="182" customFormat="false" ht="15" hidden="false" customHeight="false" outlineLevel="0" collapsed="false">
      <c r="A182" s="18"/>
      <c r="B182" s="19"/>
      <c r="C182" s="19"/>
      <c r="D182" s="14"/>
      <c r="E182" s="14"/>
      <c r="F182" s="23"/>
      <c r="G182" s="21" t="str">
        <f aca="false">IF($D182="","",$D182+N($E182))</f>
        <v/>
      </c>
      <c r="H182" s="22" t="str">
        <f aca="false">IF($A182="","",YEAR($A182))</f>
        <v/>
      </c>
      <c r="I182" s="22" t="str">
        <f aca="false">IF($A182="","",ROUNDUP(MONTH($A182)/3,0))</f>
        <v/>
      </c>
    </row>
    <row r="183" customFormat="false" ht="15" hidden="false" customHeight="false" outlineLevel="0" collapsed="false">
      <c r="A183" s="18"/>
      <c r="B183" s="19"/>
      <c r="C183" s="19"/>
      <c r="D183" s="14"/>
      <c r="E183" s="14"/>
      <c r="F183" s="23"/>
      <c r="G183" s="21" t="str">
        <f aca="false">IF($D183="","",$D183+N($E183))</f>
        <v/>
      </c>
      <c r="H183" s="22" t="str">
        <f aca="false">IF($A183="","",YEAR($A183))</f>
        <v/>
      </c>
      <c r="I183" s="22" t="str">
        <f aca="false">IF($A183="","",ROUNDUP(MONTH($A183)/3,0))</f>
        <v/>
      </c>
    </row>
    <row r="184" customFormat="false" ht="15" hidden="false" customHeight="false" outlineLevel="0" collapsed="false">
      <c r="A184" s="18"/>
      <c r="B184" s="19"/>
      <c r="C184" s="19"/>
      <c r="D184" s="14"/>
      <c r="E184" s="14"/>
      <c r="F184" s="23"/>
      <c r="G184" s="21" t="str">
        <f aca="false">IF($D184="","",$D184+N($E184))</f>
        <v/>
      </c>
      <c r="H184" s="22" t="str">
        <f aca="false">IF($A184="","",YEAR($A184))</f>
        <v/>
      </c>
      <c r="I184" s="22" t="str">
        <f aca="false">IF($A184="","",ROUNDUP(MONTH($A184)/3,0))</f>
        <v/>
      </c>
    </row>
    <row r="185" customFormat="false" ht="15" hidden="false" customHeight="false" outlineLevel="0" collapsed="false">
      <c r="A185" s="18"/>
      <c r="B185" s="19"/>
      <c r="C185" s="19"/>
      <c r="D185" s="14"/>
      <c r="E185" s="14"/>
      <c r="F185" s="23"/>
      <c r="G185" s="21" t="str">
        <f aca="false">IF($D185="","",$D185+N($E185))</f>
        <v/>
      </c>
      <c r="H185" s="22" t="str">
        <f aca="false">IF($A185="","",YEAR($A185))</f>
        <v/>
      </c>
      <c r="I185" s="22" t="str">
        <f aca="false">IF($A185="","",ROUNDUP(MONTH($A185)/3,0))</f>
        <v/>
      </c>
    </row>
    <row r="186" customFormat="false" ht="15" hidden="false" customHeight="false" outlineLevel="0" collapsed="false">
      <c r="A186" s="18"/>
      <c r="B186" s="19"/>
      <c r="C186" s="19"/>
      <c r="D186" s="14"/>
      <c r="E186" s="14"/>
      <c r="F186" s="23"/>
      <c r="G186" s="21" t="str">
        <f aca="false">IF($D186="","",$D186+N($E186))</f>
        <v/>
      </c>
      <c r="H186" s="22" t="str">
        <f aca="false">IF($A186="","",YEAR($A186))</f>
        <v/>
      </c>
      <c r="I186" s="22" t="str">
        <f aca="false">IF($A186="","",ROUNDUP(MONTH($A186)/3,0))</f>
        <v/>
      </c>
    </row>
    <row r="187" customFormat="false" ht="15" hidden="false" customHeight="false" outlineLevel="0" collapsed="false">
      <c r="A187" s="18"/>
      <c r="B187" s="19"/>
      <c r="C187" s="19"/>
      <c r="D187" s="14"/>
      <c r="E187" s="14"/>
      <c r="F187" s="23"/>
      <c r="G187" s="21" t="str">
        <f aca="false">IF($D187="","",$D187+N($E187))</f>
        <v/>
      </c>
      <c r="H187" s="22" t="str">
        <f aca="false">IF($A187="","",YEAR($A187))</f>
        <v/>
      </c>
      <c r="I187" s="22" t="str">
        <f aca="false">IF($A187="","",ROUNDUP(MONTH($A187)/3,0))</f>
        <v/>
      </c>
    </row>
    <row r="188" customFormat="false" ht="15" hidden="false" customHeight="false" outlineLevel="0" collapsed="false">
      <c r="A188" s="18"/>
      <c r="B188" s="19"/>
      <c r="C188" s="19"/>
      <c r="D188" s="14"/>
      <c r="E188" s="14"/>
      <c r="F188" s="23"/>
      <c r="G188" s="21" t="str">
        <f aca="false">IF($D188="","",$D188+N($E188))</f>
        <v/>
      </c>
      <c r="H188" s="22" t="str">
        <f aca="false">IF($A188="","",YEAR($A188))</f>
        <v/>
      </c>
      <c r="I188" s="22" t="str">
        <f aca="false">IF($A188="","",ROUNDUP(MONTH($A188)/3,0))</f>
        <v/>
      </c>
    </row>
    <row r="189" customFormat="false" ht="15" hidden="false" customHeight="false" outlineLevel="0" collapsed="false">
      <c r="A189" s="18"/>
      <c r="B189" s="19"/>
      <c r="C189" s="19"/>
      <c r="D189" s="14"/>
      <c r="E189" s="14"/>
      <c r="F189" s="23"/>
      <c r="G189" s="21" t="str">
        <f aca="false">IF($D189="","",$D189+N($E189))</f>
        <v/>
      </c>
      <c r="H189" s="22" t="str">
        <f aca="false">IF($A189="","",YEAR($A189))</f>
        <v/>
      </c>
      <c r="I189" s="22" t="str">
        <f aca="false">IF($A189="","",ROUNDUP(MONTH($A189)/3,0))</f>
        <v/>
      </c>
    </row>
    <row r="190" customFormat="false" ht="15" hidden="false" customHeight="false" outlineLevel="0" collapsed="false">
      <c r="A190" s="18"/>
      <c r="B190" s="19"/>
      <c r="C190" s="19"/>
      <c r="D190" s="14"/>
      <c r="E190" s="14"/>
      <c r="F190" s="23"/>
      <c r="G190" s="21" t="str">
        <f aca="false">IF($D190="","",$D190+N($E190))</f>
        <v/>
      </c>
      <c r="H190" s="22" t="str">
        <f aca="false">IF($A190="","",YEAR($A190))</f>
        <v/>
      </c>
      <c r="I190" s="22" t="str">
        <f aca="false">IF($A190="","",ROUNDUP(MONTH($A190)/3,0))</f>
        <v/>
      </c>
    </row>
    <row r="191" customFormat="false" ht="15" hidden="false" customHeight="false" outlineLevel="0" collapsed="false">
      <c r="A191" s="18"/>
      <c r="B191" s="19"/>
      <c r="C191" s="19"/>
      <c r="D191" s="14"/>
      <c r="E191" s="14"/>
      <c r="F191" s="23"/>
      <c r="G191" s="21" t="str">
        <f aca="false">IF($D191="","",$D191+N($E191))</f>
        <v/>
      </c>
      <c r="H191" s="22" t="str">
        <f aca="false">IF($A191="","",YEAR($A191))</f>
        <v/>
      </c>
      <c r="I191" s="22" t="str">
        <f aca="false">IF($A191="","",ROUNDUP(MONTH($A191)/3,0))</f>
        <v/>
      </c>
    </row>
    <row r="192" customFormat="false" ht="15" hidden="false" customHeight="false" outlineLevel="0" collapsed="false">
      <c r="A192" s="18"/>
      <c r="B192" s="19"/>
      <c r="C192" s="19"/>
      <c r="D192" s="14"/>
      <c r="E192" s="14"/>
      <c r="F192" s="23"/>
      <c r="G192" s="21" t="str">
        <f aca="false">IF($D192="","",$D192+N($E192))</f>
        <v/>
      </c>
      <c r="H192" s="22" t="str">
        <f aca="false">IF($A192="","",YEAR($A192))</f>
        <v/>
      </c>
      <c r="I192" s="22" t="str">
        <f aca="false">IF($A192="","",ROUNDUP(MONTH($A192)/3,0))</f>
        <v/>
      </c>
    </row>
    <row r="193" customFormat="false" ht="15" hidden="false" customHeight="false" outlineLevel="0" collapsed="false">
      <c r="A193" s="18"/>
      <c r="B193" s="19"/>
      <c r="C193" s="19"/>
      <c r="D193" s="14"/>
      <c r="E193" s="14"/>
      <c r="F193" s="23"/>
      <c r="G193" s="21" t="str">
        <f aca="false">IF($D193="","",$D193+N($E193))</f>
        <v/>
      </c>
      <c r="H193" s="22" t="str">
        <f aca="false">IF($A193="","",YEAR($A193))</f>
        <v/>
      </c>
      <c r="I193" s="22" t="str">
        <f aca="false">IF($A193="","",ROUNDUP(MONTH($A193)/3,0))</f>
        <v/>
      </c>
    </row>
    <row r="194" customFormat="false" ht="15" hidden="false" customHeight="false" outlineLevel="0" collapsed="false">
      <c r="A194" s="18"/>
      <c r="B194" s="19"/>
      <c r="C194" s="19"/>
      <c r="D194" s="14"/>
      <c r="E194" s="14"/>
      <c r="F194" s="23"/>
      <c r="G194" s="21" t="str">
        <f aca="false">IF($D194="","",$D194+N($E194))</f>
        <v/>
      </c>
      <c r="H194" s="22" t="str">
        <f aca="false">IF($A194="","",YEAR($A194))</f>
        <v/>
      </c>
      <c r="I194" s="22" t="str">
        <f aca="false">IF($A194="","",ROUNDUP(MONTH($A194)/3,0))</f>
        <v/>
      </c>
    </row>
    <row r="195" customFormat="false" ht="15" hidden="false" customHeight="false" outlineLevel="0" collapsed="false">
      <c r="A195" s="18"/>
      <c r="B195" s="19"/>
      <c r="C195" s="19"/>
      <c r="D195" s="14"/>
      <c r="E195" s="14"/>
      <c r="F195" s="23"/>
      <c r="G195" s="21" t="str">
        <f aca="false">IF($D195="","",$D195+N($E195))</f>
        <v/>
      </c>
      <c r="H195" s="22" t="str">
        <f aca="false">IF($A195="","",YEAR($A195))</f>
        <v/>
      </c>
      <c r="I195" s="22" t="str">
        <f aca="false">IF($A195="","",ROUNDUP(MONTH($A195)/3,0))</f>
        <v/>
      </c>
    </row>
    <row r="196" customFormat="false" ht="15" hidden="false" customHeight="false" outlineLevel="0" collapsed="false">
      <c r="A196" s="18"/>
      <c r="B196" s="19"/>
      <c r="C196" s="19"/>
      <c r="D196" s="14"/>
      <c r="E196" s="14"/>
      <c r="F196" s="23"/>
      <c r="G196" s="21" t="str">
        <f aca="false">IF($D196="","",$D196+N($E196))</f>
        <v/>
      </c>
      <c r="H196" s="22" t="str">
        <f aca="false">IF($A196="","",YEAR($A196))</f>
        <v/>
      </c>
      <c r="I196" s="22" t="str">
        <f aca="false">IF($A196="","",ROUNDUP(MONTH($A196)/3,0))</f>
        <v/>
      </c>
    </row>
    <row r="197" customFormat="false" ht="15" hidden="false" customHeight="false" outlineLevel="0" collapsed="false">
      <c r="A197" s="18"/>
      <c r="B197" s="19"/>
      <c r="C197" s="19"/>
      <c r="D197" s="14"/>
      <c r="E197" s="14"/>
      <c r="F197" s="23"/>
      <c r="G197" s="21" t="str">
        <f aca="false">IF($D197="","",$D197+N($E197))</f>
        <v/>
      </c>
      <c r="H197" s="22" t="str">
        <f aca="false">IF($A197="","",YEAR($A197))</f>
        <v/>
      </c>
      <c r="I197" s="22" t="str">
        <f aca="false">IF($A197="","",ROUNDUP(MONTH($A197)/3,0))</f>
        <v/>
      </c>
    </row>
    <row r="198" customFormat="false" ht="15" hidden="false" customHeight="false" outlineLevel="0" collapsed="false">
      <c r="A198" s="18"/>
      <c r="B198" s="19"/>
      <c r="C198" s="19"/>
      <c r="D198" s="14"/>
      <c r="E198" s="14"/>
      <c r="F198" s="23"/>
      <c r="G198" s="21" t="str">
        <f aca="false">IF($D198="","",$D198+N($E198))</f>
        <v/>
      </c>
      <c r="H198" s="22" t="str">
        <f aca="false">IF($A198="","",YEAR($A198))</f>
        <v/>
      </c>
      <c r="I198" s="22" t="str">
        <f aca="false">IF($A198="","",ROUNDUP(MONTH($A198)/3,0))</f>
        <v/>
      </c>
    </row>
    <row r="199" customFormat="false" ht="15" hidden="false" customHeight="false" outlineLevel="0" collapsed="false">
      <c r="A199" s="18"/>
      <c r="B199" s="19"/>
      <c r="C199" s="19"/>
      <c r="D199" s="14"/>
      <c r="E199" s="14"/>
      <c r="F199" s="23"/>
      <c r="G199" s="21" t="str">
        <f aca="false">IF($D199="","",$D199+N($E199))</f>
        <v/>
      </c>
      <c r="H199" s="22" t="str">
        <f aca="false">IF($A199="","",YEAR($A199))</f>
        <v/>
      </c>
      <c r="I199" s="22" t="str">
        <f aca="false">IF($A199="","",ROUNDUP(MONTH($A199)/3,0))</f>
        <v/>
      </c>
    </row>
    <row r="200" customFormat="false" ht="15" hidden="false" customHeight="false" outlineLevel="0" collapsed="false">
      <c r="A200" s="18"/>
      <c r="B200" s="19"/>
      <c r="C200" s="19"/>
      <c r="D200" s="14"/>
      <c r="E200" s="14"/>
      <c r="F200" s="23"/>
      <c r="G200" s="21" t="str">
        <f aca="false">IF($D200="","",$D200+N($E200))</f>
        <v/>
      </c>
      <c r="H200" s="22" t="str">
        <f aca="false">IF($A200="","",YEAR($A200))</f>
        <v/>
      </c>
      <c r="I200" s="22" t="str">
        <f aca="false">IF($A200="","",ROUNDUP(MONTH($A200)/3,0))</f>
        <v/>
      </c>
    </row>
    <row r="201" customFormat="false" ht="15" hidden="false" customHeight="false" outlineLevel="0" collapsed="false">
      <c r="A201" s="18"/>
      <c r="B201" s="19"/>
      <c r="C201" s="19"/>
      <c r="D201" s="14"/>
      <c r="E201" s="14"/>
      <c r="F201" s="23"/>
      <c r="G201" s="21" t="str">
        <f aca="false">IF($D201="","",$D201+N($E201))</f>
        <v/>
      </c>
      <c r="H201" s="22" t="str">
        <f aca="false">IF($A201="","",YEAR($A201))</f>
        <v/>
      </c>
      <c r="I201" s="22" t="str">
        <f aca="false">IF($A201="","",ROUNDUP(MONTH($A201)/3,0))</f>
        <v/>
      </c>
    </row>
    <row r="202" customFormat="false" ht="15" hidden="false" customHeight="false" outlineLevel="0" collapsed="false">
      <c r="A202" s="18"/>
      <c r="B202" s="19"/>
      <c r="C202" s="19"/>
      <c r="D202" s="14"/>
      <c r="E202" s="14"/>
      <c r="F202" s="23"/>
      <c r="G202" s="21" t="str">
        <f aca="false">IF($D202="","",$D202+N($E202))</f>
        <v/>
      </c>
      <c r="H202" s="22" t="str">
        <f aca="false">IF($A202="","",YEAR($A202))</f>
        <v/>
      </c>
      <c r="I202" s="22" t="str">
        <f aca="false">IF($A202="","",ROUNDUP(MONTH($A202)/3,0))</f>
        <v/>
      </c>
    </row>
    <row r="203" customFormat="false" ht="15" hidden="false" customHeight="false" outlineLevel="0" collapsed="false">
      <c r="A203" s="18"/>
      <c r="B203" s="19"/>
      <c r="C203" s="19"/>
      <c r="D203" s="14"/>
      <c r="E203" s="14"/>
      <c r="F203" s="23"/>
      <c r="G203" s="21" t="str">
        <f aca="false">IF($D203="","",$D203+N($E203))</f>
        <v/>
      </c>
      <c r="H203" s="22" t="str">
        <f aca="false">IF($A203="","",YEAR($A203))</f>
        <v/>
      </c>
      <c r="I203" s="22" t="str">
        <f aca="false">IF($A203="","",ROUNDUP(MONTH($A203)/3,0))</f>
        <v/>
      </c>
    </row>
    <row r="204" customFormat="false" ht="15" hidden="false" customHeight="false" outlineLevel="0" collapsed="false">
      <c r="A204" s="18"/>
      <c r="B204" s="19"/>
      <c r="C204" s="19"/>
      <c r="D204" s="14"/>
      <c r="E204" s="14"/>
      <c r="F204" s="23"/>
      <c r="G204" s="21" t="str">
        <f aca="false">IF($D204="","",$D204+N($E204))</f>
        <v/>
      </c>
      <c r="H204" s="22" t="str">
        <f aca="false">IF($A204="","",YEAR($A204))</f>
        <v/>
      </c>
      <c r="I204" s="22" t="str">
        <f aca="false">IF($A204="","",ROUNDUP(MONTH($A204)/3,0))</f>
        <v/>
      </c>
    </row>
    <row r="205" customFormat="false" ht="15" hidden="false" customHeight="false" outlineLevel="0" collapsed="false">
      <c r="A205" s="18"/>
      <c r="B205" s="19"/>
      <c r="C205" s="19"/>
      <c r="D205" s="14"/>
      <c r="E205" s="14"/>
      <c r="F205" s="23"/>
      <c r="G205" s="21" t="str">
        <f aca="false">IF($D205="","",$D205+N($E205))</f>
        <v/>
      </c>
      <c r="H205" s="22" t="str">
        <f aca="false">IF($A205="","",YEAR($A205))</f>
        <v/>
      </c>
      <c r="I205" s="22" t="str">
        <f aca="false">IF($A205="","",ROUNDUP(MONTH($A205)/3,0))</f>
        <v/>
      </c>
    </row>
  </sheetData>
  <dataValidations count="1">
    <dataValidation allowBlank="true" errorStyle="stop" operator="between" showDropDown="false" showErrorMessage="false" showInputMessage="false" sqref="F6:F205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D4A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5" t="s">
        <v>76</v>
      </c>
    </row>
    <row r="2" customFormat="false" ht="15" hidden="false" customHeight="false" outlineLevel="0" collapsed="false">
      <c r="A2" s="8" t="s">
        <v>77</v>
      </c>
    </row>
    <row r="4" customFormat="false" ht="15" hidden="false" customHeight="false" outlineLevel="0" collapsed="false">
      <c r="A4" s="24" t="s">
        <v>66</v>
      </c>
      <c r="B4" s="25" t="n">
        <v>1</v>
      </c>
      <c r="C4" s="25" t="n">
        <v>2</v>
      </c>
      <c r="D4" s="25" t="n">
        <v>3</v>
      </c>
      <c r="E4" s="25" t="n">
        <v>4</v>
      </c>
      <c r="F4" s="26" t="s">
        <v>60</v>
      </c>
    </row>
    <row r="5" customFormat="false" ht="15" hidden="false" customHeight="false" outlineLevel="0" collapsed="false">
      <c r="A5" s="27" t="s">
        <v>78</v>
      </c>
      <c r="B5" s="21" t="n">
        <f aca="false">SUMIFS(Facturas!$E$6:$E$205,Facturas!$M$6:$M$205,Ajustes!$B$3,Facturas!$N$6:$N$205,B$4)</f>
        <v>0</v>
      </c>
      <c r="C5" s="21" t="n">
        <f aca="false">SUMIFS(Facturas!$E$6:$E$205,Facturas!$M$6:$M$205,Ajustes!$B$3,Facturas!$N$6:$N$205,C$4)</f>
        <v>0</v>
      </c>
      <c r="D5" s="21" t="n">
        <f aca="false">SUMIFS(Facturas!$E$6:$E$205,Facturas!$M$6:$M$205,Ajustes!$B$3,Facturas!$N$6:$N$205,D$4)</f>
        <v>0</v>
      </c>
      <c r="E5" s="21" t="n">
        <f aca="false">SUMIFS(Facturas!$E$6:$E$205,Facturas!$M$6:$M$205,Ajustes!$B$3,Facturas!$N$6:$N$205,E$4)</f>
        <v>350</v>
      </c>
      <c r="F5" s="21" t="n">
        <f aca="false">SUM(B5:E5)</f>
        <v>350</v>
      </c>
    </row>
    <row r="6" customFormat="false" ht="15" hidden="false" customHeight="false" outlineLevel="0" collapsed="false">
      <c r="A6" s="27" t="s">
        <v>79</v>
      </c>
      <c r="B6" s="21" t="n">
        <f aca="false">SUMIFS(Facturas!$G$6:$G$205,Facturas!$M$6:$M$205,Ajustes!$B$3,Facturas!$N$6:$N$205,B$4)</f>
        <v>0</v>
      </c>
      <c r="C6" s="21" t="n">
        <f aca="false">SUMIFS(Facturas!$G$6:$G$205,Facturas!$M$6:$M$205,Ajustes!$B$3,Facturas!$N$6:$N$205,C$4)</f>
        <v>0</v>
      </c>
      <c r="D6" s="21" t="n">
        <f aca="false">SUMIFS(Facturas!$G$6:$G$205,Facturas!$M$6:$M$205,Ajustes!$B$3,Facturas!$N$6:$N$205,D$4)</f>
        <v>0</v>
      </c>
      <c r="E6" s="21" t="n">
        <f aca="false">SUMIFS(Facturas!$G$6:$G$205,Facturas!$M$6:$M$205,Ajustes!$B$3,Facturas!$N$6:$N$205,E$4)</f>
        <v>73.5</v>
      </c>
      <c r="F6" s="21" t="n">
        <f aca="false">SUM(B6:E6)</f>
        <v>73.5</v>
      </c>
    </row>
    <row r="7" customFormat="false" ht="15" hidden="false" customHeight="false" outlineLevel="0" collapsed="false">
      <c r="A7" s="27" t="s">
        <v>80</v>
      </c>
      <c r="B7" s="21" t="n">
        <f aca="false">SUMIFS(Facturas!$H$6:$H$205,Facturas!$M$6:$M$205,Ajustes!$B$3,Facturas!$N$6:$N$205,B$4)</f>
        <v>0</v>
      </c>
      <c r="C7" s="21" t="n">
        <f aca="false">SUMIFS(Facturas!$H$6:$H$205,Facturas!$M$6:$M$205,Ajustes!$B$3,Facturas!$N$6:$N$205,C$4)</f>
        <v>0</v>
      </c>
      <c r="D7" s="21" t="n">
        <f aca="false">SUMIFS(Facturas!$H$6:$H$205,Facturas!$M$6:$M$205,Ajustes!$B$3,Facturas!$N$6:$N$205,D$4)</f>
        <v>0</v>
      </c>
      <c r="E7" s="21" t="n">
        <f aca="false">SUMIFS(Facturas!$H$6:$H$205,Facturas!$M$6:$M$205,Ajustes!$B$3,Facturas!$N$6:$N$205,E$4)</f>
        <v>24.5</v>
      </c>
      <c r="F7" s="21" t="n">
        <f aca="false">SUM(B7:E7)</f>
        <v>24.5</v>
      </c>
    </row>
    <row r="8" customFormat="false" ht="15" hidden="false" customHeight="false" outlineLevel="0" collapsed="false">
      <c r="A8" s="27" t="s">
        <v>81</v>
      </c>
      <c r="B8" s="21" t="n">
        <f aca="false">SUMIFS(Facturas!$I$6:$I$205,Facturas!$M$6:$M$205,Ajustes!$B$3,Facturas!$N$6:$N$205,B$4)</f>
        <v>0</v>
      </c>
      <c r="C8" s="21" t="n">
        <f aca="false">SUMIFS(Facturas!$I$6:$I$205,Facturas!$M$6:$M$205,Ajustes!$B$3,Facturas!$N$6:$N$205,C$4)</f>
        <v>0</v>
      </c>
      <c r="D8" s="21" t="n">
        <f aca="false">SUMIFS(Facturas!$I$6:$I$205,Facturas!$M$6:$M$205,Ajustes!$B$3,Facturas!$N$6:$N$205,D$4)</f>
        <v>0</v>
      </c>
      <c r="E8" s="21" t="n">
        <f aca="false">SUMIFS(Facturas!$I$6:$I$205,Facturas!$M$6:$M$205,Ajustes!$B$3,Facturas!$N$6:$N$205,E$4)</f>
        <v>399</v>
      </c>
      <c r="F8" s="21" t="n">
        <f aca="false">SUM(B8:E8)</f>
        <v>399</v>
      </c>
    </row>
    <row r="9" customFormat="false" ht="15" hidden="false" customHeight="false" outlineLevel="0" collapsed="false">
      <c r="A9" s="27" t="s">
        <v>82</v>
      </c>
      <c r="B9" s="21" t="n">
        <f aca="false">SUMIFS(Gastos!$D$6:$D$205,Gastos!$H$6:$H$205,Ajustes!$B$3,Gastos!$I$6:$I$205,B$4,Gastos!$F$6:$F$205,"Sí")</f>
        <v>0</v>
      </c>
      <c r="C9" s="21" t="n">
        <f aca="false">SUMIFS(Gastos!$D$6:$D$205,Gastos!$H$6:$H$205,Ajustes!$B$3,Gastos!$I$6:$I$205,C$4,Gastos!$F$6:$F$205,"Sí")</f>
        <v>0</v>
      </c>
      <c r="D9" s="21" t="n">
        <f aca="false">SUMIFS(Gastos!$D$6:$D$205,Gastos!$H$6:$H$205,Ajustes!$B$3,Gastos!$I$6:$I$205,D$4,Gastos!$F$6:$F$205,"Sí")</f>
        <v>0</v>
      </c>
      <c r="E9" s="21" t="n">
        <f aca="false">SUMIFS(Gastos!$D$6:$D$205,Gastos!$H$6:$H$205,Ajustes!$B$3,Gastos!$I$6:$I$205,E$4,Gastos!$F$6:$F$205,"Sí")</f>
        <v>92</v>
      </c>
      <c r="F9" s="21" t="n">
        <f aca="false">SUM(B9:E9)</f>
        <v>92</v>
      </c>
    </row>
    <row r="10" customFormat="false" ht="15" hidden="false" customHeight="false" outlineLevel="0" collapsed="false">
      <c r="A10" s="27" t="s">
        <v>83</v>
      </c>
      <c r="B10" s="21" t="n">
        <f aca="false">SUMIFS(Gastos!$E$6:$E$205,Gastos!$H$6:$H$205,Ajustes!$B$3,Gastos!$I$6:$I$205,B$4,Gastos!$F$6:$F$205,"Sí")</f>
        <v>0</v>
      </c>
      <c r="C10" s="21" t="n">
        <f aca="false">SUMIFS(Gastos!$E$6:$E$205,Gastos!$H$6:$H$205,Ajustes!$B$3,Gastos!$I$6:$I$205,C$4,Gastos!$F$6:$F$205,"Sí")</f>
        <v>0</v>
      </c>
      <c r="D10" s="21" t="n">
        <f aca="false">SUMIFS(Gastos!$E$6:$E$205,Gastos!$H$6:$H$205,Ajustes!$B$3,Gastos!$I$6:$I$205,D$4,Gastos!$F$6:$F$205,"Sí")</f>
        <v>0</v>
      </c>
      <c r="E10" s="21" t="n">
        <f aca="false">SUMIFS(Gastos!$E$6:$E$205,Gastos!$H$6:$H$205,Ajustes!$B$3,Gastos!$I$6:$I$205,E$4,Gastos!$F$6:$F$205,"Sí")</f>
        <v>2.52</v>
      </c>
      <c r="F10" s="21" t="n">
        <f aca="false">SUM(B10:E10)</f>
        <v>2.52</v>
      </c>
    </row>
    <row r="11" customFormat="false" ht="15" hidden="false" customHeight="false" outlineLevel="0" collapsed="false">
      <c r="A11" s="27" t="s">
        <v>84</v>
      </c>
      <c r="B11" s="21" t="n">
        <f aca="false">SUMIFS(Gastos!$G$6:$G$205,Gastos!$H$6:$H$205,Ajustes!$B$3,Gastos!$I$6:$I$205,B$4)</f>
        <v>0</v>
      </c>
      <c r="C11" s="21" t="n">
        <f aca="false">SUMIFS(Gastos!$G$6:$G$205,Gastos!$H$6:$H$205,Ajustes!$B$3,Gastos!$I$6:$I$205,C$4)</f>
        <v>0</v>
      </c>
      <c r="D11" s="21" t="n">
        <f aca="false">SUMIFS(Gastos!$G$6:$G$205,Gastos!$H$6:$H$205,Ajustes!$B$3,Gastos!$I$6:$I$205,D$4)</f>
        <v>0</v>
      </c>
      <c r="E11" s="21" t="n">
        <f aca="false">SUMIFS(Gastos!$G$6:$G$205,Gastos!$H$6:$H$205,Ajustes!$B$3,Gastos!$I$6:$I$205,E$4)</f>
        <v>94.52</v>
      </c>
      <c r="F11" s="21" t="n">
        <f aca="false">SUM(B11:E11)</f>
        <v>94.52</v>
      </c>
    </row>
    <row r="12" customFormat="false" ht="15" hidden="false" customHeight="false" outlineLevel="0" collapsed="false">
      <c r="A12" s="11" t="s">
        <v>85</v>
      </c>
      <c r="B12" s="12"/>
      <c r="C12" s="12"/>
      <c r="D12" s="12"/>
      <c r="E12" s="12"/>
      <c r="F12" s="12"/>
    </row>
    <row r="13" customFormat="false" ht="15" hidden="false" customHeight="false" outlineLevel="0" collapsed="false">
      <c r="A13" s="27" t="s">
        <v>86</v>
      </c>
      <c r="B13" s="21" t="n">
        <f aca="false">B6-B10</f>
        <v>0</v>
      </c>
      <c r="C13" s="21" t="n">
        <f aca="false">C6-C10</f>
        <v>0</v>
      </c>
      <c r="D13" s="21" t="n">
        <f aca="false">D6-D10</f>
        <v>0</v>
      </c>
      <c r="E13" s="21" t="n">
        <f aca="false">E6-E10</f>
        <v>70.98</v>
      </c>
      <c r="F13" s="21" t="n">
        <f aca="false">SUM(B13:E13)</f>
        <v>70.98</v>
      </c>
    </row>
    <row r="14" customFormat="false" ht="15" hidden="false" customHeight="false" outlineLevel="0" collapsed="false">
      <c r="A14" s="27" t="s">
        <v>87</v>
      </c>
      <c r="B14" s="21" t="n">
        <f aca="false">B5-B9</f>
        <v>0</v>
      </c>
      <c r="C14" s="21" t="n">
        <f aca="false">C5-C9</f>
        <v>0</v>
      </c>
      <c r="D14" s="21" t="n">
        <f aca="false">D5-D9</f>
        <v>0</v>
      </c>
      <c r="E14" s="21" t="n">
        <f aca="false">E5-E9</f>
        <v>258</v>
      </c>
      <c r="F14" s="21" t="n">
        <f aca="false">SUM(B14:E14)</f>
        <v>258</v>
      </c>
    </row>
    <row r="15" customFormat="false" ht="15" hidden="false" customHeight="false" outlineLevel="0" collapsed="false">
      <c r="A15" s="27" t="s">
        <v>88</v>
      </c>
      <c r="B15" s="21" t="n">
        <f aca="false">SUM($B14:B14)</f>
        <v>0</v>
      </c>
      <c r="C15" s="21" t="n">
        <f aca="false">SUM($B14:C14)</f>
        <v>0</v>
      </c>
      <c r="D15" s="21" t="n">
        <f aca="false">SUM($B14:D14)</f>
        <v>0</v>
      </c>
      <c r="E15" s="21" t="n">
        <f aca="false">SUM($B14:E14)</f>
        <v>258</v>
      </c>
      <c r="F15" s="21" t="n">
        <f aca="false">E15</f>
        <v>258</v>
      </c>
    </row>
    <row r="16" customFormat="false" ht="15" hidden="false" customHeight="false" outlineLevel="0" collapsed="false">
      <c r="A16" s="27" t="s">
        <v>89</v>
      </c>
      <c r="B16" s="21" t="n">
        <f aca="false">SUM($B7:B7)</f>
        <v>0</v>
      </c>
      <c r="C16" s="21" t="n">
        <f aca="false">SUM($B7:C7)</f>
        <v>0</v>
      </c>
      <c r="D16" s="21" t="n">
        <f aca="false">SUM($B7:D7)</f>
        <v>0</v>
      </c>
      <c r="E16" s="21" t="n">
        <f aca="false">SUM($B7:E7)</f>
        <v>24.5</v>
      </c>
      <c r="F16" s="21" t="n">
        <f aca="false">E16</f>
        <v>24.5</v>
      </c>
    </row>
    <row r="17" customFormat="false" ht="15" hidden="false" customHeight="false" outlineLevel="0" collapsed="false">
      <c r="A17" s="27" t="s">
        <v>90</v>
      </c>
      <c r="B17" s="21" t="n">
        <f aca="false">IF(Ajustes!$B$6="Sí",MAX(0,ROUND(Ajustes!$B$5*B15-B16-0,2)),0)</f>
        <v>0</v>
      </c>
      <c r="C17" s="21" t="n">
        <f aca="false">IF(Ajustes!$B$6="Sí",MAX(0,ROUND(Ajustes!$B$5*C15-C16-SUM($B17:B17),2)),0)</f>
        <v>0</v>
      </c>
      <c r="D17" s="21" t="n">
        <f aca="false">IF(Ajustes!$B$6="Sí",MAX(0,ROUND(Ajustes!$B$5*D15-D16-SUM($B17:C17),2)),0)</f>
        <v>0</v>
      </c>
      <c r="E17" s="21" t="n">
        <f aca="false">IF(Ajustes!$B$6="Sí",MAX(0,ROUND(Ajustes!$B$5*E15-E16-SUM($B17:D17),2)),0)</f>
        <v>27.1</v>
      </c>
      <c r="F17" s="21" t="n">
        <f aca="false">SUM(B17:E17)</f>
        <v>27.1</v>
      </c>
    </row>
    <row r="18" customFormat="false" ht="15" hidden="false" customHeight="false" outlineLevel="0" collapsed="false">
      <c r="A18" s="28" t="s">
        <v>91</v>
      </c>
      <c r="B18" s="16" t="n">
        <f aca="false">B13+B17</f>
        <v>0</v>
      </c>
      <c r="C18" s="16" t="n">
        <f aca="false">C13+C17</f>
        <v>0</v>
      </c>
      <c r="D18" s="16" t="n">
        <f aca="false">D13+D17</f>
        <v>0</v>
      </c>
      <c r="E18" s="16" t="n">
        <f aca="false">E13+E17</f>
        <v>98.08</v>
      </c>
      <c r="F18" s="16" t="n">
        <f aca="false">SUM(B18:E18)</f>
        <v>98.08</v>
      </c>
    </row>
    <row r="19" customFormat="false" ht="15" hidden="false" customHeight="false" outlineLevel="0" collapsed="false">
      <c r="A19" s="27" t="s">
        <v>92</v>
      </c>
      <c r="B19" s="29" t="s">
        <v>93</v>
      </c>
      <c r="C19" s="29" t="s">
        <v>94</v>
      </c>
      <c r="D19" s="29" t="s">
        <v>95</v>
      </c>
      <c r="E19" s="29" t="s">
        <v>96</v>
      </c>
      <c r="F19" s="29"/>
    </row>
    <row r="20" customFormat="false" ht="15" hidden="false" customHeight="false" outlineLevel="0" collapsed="false">
      <c r="A20" s="28" t="s">
        <v>97</v>
      </c>
      <c r="B20" s="16" t="n">
        <f aca="false">B8-B11-B13-B17</f>
        <v>0</v>
      </c>
      <c r="C20" s="16" t="n">
        <f aca="false">C8-C11-C13-C17</f>
        <v>0</v>
      </c>
      <c r="D20" s="16" t="n">
        <f aca="false">D8-D11-D13-D17</f>
        <v>0</v>
      </c>
      <c r="E20" s="16" t="n">
        <f aca="false">E8-E11-E13-E17</f>
        <v>206.4</v>
      </c>
      <c r="F20" s="16" t="n">
        <f aca="false">SUM(B20:E20)</f>
        <v>206.4</v>
      </c>
    </row>
    <row r="22" customFormat="false" ht="15" hidden="false" customHeight="false" outlineLevel="0" collapsed="false">
      <c r="A22" s="8" t="s">
        <v>98</v>
      </c>
    </row>
    <row r="23" customFormat="false" ht="15" hidden="false" customHeight="false" outlineLevel="0" collapsed="false">
      <c r="A23" s="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2026-10-03T11:43:45Z</dcterms:created>
  <dc:creator>openpyxl</dc:creator>
  <dc:description/>
  <dc:language>en-US</dc:language>
  <cp:lastModifiedBy/>
  <dcterms:modified xsi:type="dcterms:W3CDTF">2026-10-03T11:43:45Z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